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スタ" sheetId="1" state="visible" r:id="rId1"/>
    <sheet name="細田" sheetId="2" state="visible" r:id="rId2"/>
    <sheet name="本多" sheetId="3" state="visible" r:id="rId3"/>
    <sheet name="西村" sheetId="4" state="visible" r:id="rId4"/>
    <sheet name="村田" sheetId="5" state="visible" r:id="rId5"/>
    <sheet name="吉田" sheetId="6" state="visible" r:id="rId6"/>
    <sheet name="LS新人①" sheetId="7" state="visible" r:id="rId7"/>
    <sheet name="LS新人②" sheetId="8" state="visible" r:id="rId8"/>
    <sheet name="奥村" sheetId="9" state="visible" r:id="rId9"/>
    <sheet name="CS新人①" sheetId="10" state="visible" r:id="rId10"/>
    <sheet name="CS新人②" sheetId="11" state="visible" r:id="rId11"/>
    <sheet name="野方" sheetId="12" state="visible" r:id="rId12"/>
    <sheet name="KK新人①" sheetId="13" state="visible" r:id="rId13"/>
    <sheet name="KK新人②" sheetId="14" state="visible" r:id="rId14"/>
    <sheet name="鹿山" sheetId="15" state="visible" r:id="rId15"/>
    <sheet name="虞" sheetId="16" state="visible" r:id="rId16"/>
    <sheet name="MB新人①" sheetId="17" state="visible" r:id="rId17"/>
    <sheet name="MB新人②" sheetId="18" state="visible" r:id="rId18"/>
    <sheet name="鬼崎" sheetId="19" state="visible" r:id="rId19"/>
    <sheet name="池田" sheetId="20" state="visible" r:id="rId20"/>
    <sheet name="田尻" sheetId="21" state="visible" r:id="rId21"/>
    <sheet name="宮本" sheetId="22" state="visible" r:id="rId22"/>
    <sheet name="松尾" sheetId="23" state="visible" r:id="rId23"/>
    <sheet name="SZ新人①" sheetId="24" state="visible" r:id="rId24"/>
    <sheet name="SZ新人②" sheetId="25" state="visible" r:id="rId25"/>
    <sheet name="沖田" sheetId="26" state="visible" r:id="rId26"/>
    <sheet name="KS新人①" sheetId="27" state="visible" r:id="rId27"/>
    <sheet name="KS新人②" sheetId="28" state="visible" r:id="rId28"/>
    <sheet name="Q1分析" sheetId="29" state="visible" r:id="rId29"/>
    <sheet name="Q2分析" sheetId="30" state="visible" r:id="rId30"/>
    <sheet name="Q3分析" sheetId="31" state="visible" r:id="rId31"/>
    <sheet name="Q4分析" sheetId="32" state="visible" r:id="rId32"/>
    <sheet name="上半期分析" sheetId="33" state="visible" r:id="rId33"/>
    <sheet name="下半期分析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4E79"/>
      <sz val="10"/>
    </font>
    <font>
      <color rgb="00000000"/>
      <sz val="10"/>
    </font>
    <font>
      <b val="1"/>
      <color rgb="00FFFFFF"/>
      <sz val="11"/>
    </font>
    <font>
      <b val="1"/>
      <color rgb="00FFFFFF"/>
      <sz val="12"/>
    </font>
    <font>
      <b val="1"/>
      <color rgb="00000000"/>
      <sz val="8"/>
    </font>
    <font>
      <color rgb="00000000"/>
      <sz val="9"/>
    </font>
    <font>
      <color rgb="00000000"/>
      <sz val="8"/>
    </font>
    <font>
      <color rgb="008B0000"/>
      <sz val="8"/>
    </font>
    <font>
      <color rgb="00888888"/>
      <sz val="9"/>
    </font>
    <font>
      <b val="1"/>
      <color rgb="00000000"/>
      <sz val="11"/>
    </font>
    <font>
      <b val="1"/>
      <color rgb="00FFFFFF"/>
      <sz val="9"/>
    </font>
    <font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2E75B6"/>
        <bgColor rgb="002E75B6"/>
      </patternFill>
    </fill>
    <fill>
      <patternFill patternType="solid">
        <fgColor rgb="00F5F5F5"/>
        <bgColor rgb="00F5F5F5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  <fill>
      <patternFill patternType="solid">
        <fgColor rgb="00C55A11"/>
        <bgColor rgb="00C55A11"/>
      </patternFill>
    </fill>
    <fill>
      <patternFill patternType="solid">
        <fgColor rgb="00538135"/>
        <bgColor rgb="00538135"/>
      </patternFill>
    </fill>
    <fill>
      <patternFill patternType="solid">
        <fgColor rgb="00BF8F00"/>
        <bgColor rgb="00BF8F00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9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164" fontId="3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164" fontId="11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164" fontId="11" fillId="1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164" fontId="13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 ht="24" customHeight="1">
      <c r="A1" s="1" t="inlineStr">
        <is>
          <t>【マスタ】社員一覧・評価制度概要</t>
        </is>
      </c>
    </row>
    <row r="2" ht="20" customHeight="1">
      <c r="A2" s="2" t="inlineStr">
        <is>
          <t>■評価期間</t>
        </is>
      </c>
      <c r="B2" s="2" t="inlineStr"/>
      <c r="C2" s="2" t="inlineStr"/>
      <c r="D2" s="2" t="inlineStr"/>
    </row>
    <row r="3" ht="20" customHeight="1">
      <c r="A3" s="3" t="inlineStr">
        <is>
          <t>Q1</t>
        </is>
      </c>
      <c r="B3" s="3" t="inlineStr">
        <is>
          <t>11月〜1月</t>
        </is>
      </c>
      <c r="C3" s="3" t="inlineStr">
        <is>
          <t>Q2</t>
        </is>
      </c>
      <c r="D3" s="3" t="inlineStr">
        <is>
          <t>2月〜4月</t>
        </is>
      </c>
    </row>
    <row r="4" ht="20" customHeight="1">
      <c r="A4" s="3" t="inlineStr">
        <is>
          <t>Q3</t>
        </is>
      </c>
      <c r="B4" s="3" t="inlineStr">
        <is>
          <t>5月〜7月</t>
        </is>
      </c>
      <c r="C4" s="3" t="inlineStr">
        <is>
          <t>Q4</t>
        </is>
      </c>
      <c r="D4" s="3" t="inlineStr">
        <is>
          <t>8月〜10月</t>
        </is>
      </c>
    </row>
    <row r="5" ht="20" customHeight="1">
      <c r="A5" s="3" t="inlineStr">
        <is>
          <t>上半期</t>
        </is>
      </c>
      <c r="B5" s="3" t="inlineStr">
        <is>
          <t>Q1＋Q2</t>
        </is>
      </c>
      <c r="C5" s="3" t="inlineStr">
        <is>
          <t>下半期</t>
        </is>
      </c>
      <c r="D5" s="3" t="inlineStr">
        <is>
          <t>Q3＋Q4</t>
        </is>
      </c>
    </row>
    <row r="6" ht="20" customHeight="1">
      <c r="A6" s="2" t="inlineStr">
        <is>
          <t>■全社売上連動重み</t>
        </is>
      </c>
      <c r="B6" s="2" t="inlineStr"/>
      <c r="C6" s="2" t="inlineStr"/>
      <c r="D6" s="2" t="inlineStr"/>
    </row>
    <row r="7" ht="20" customHeight="1">
      <c r="A7" s="3" t="inlineStr">
        <is>
          <t>部長</t>
        </is>
      </c>
      <c r="B7" s="3" t="inlineStr">
        <is>
          <t>50%</t>
        </is>
      </c>
      <c r="C7" s="3" t="inlineStr">
        <is>
          <t>課長</t>
        </is>
      </c>
      <c r="D7" s="3" t="inlineStr">
        <is>
          <t>40%</t>
        </is>
      </c>
    </row>
    <row r="8" ht="20" customHeight="1">
      <c r="A8" s="3" t="inlineStr">
        <is>
          <t>課長代理</t>
        </is>
      </c>
      <c r="B8" s="3" t="inlineStr">
        <is>
          <t>35%</t>
        </is>
      </c>
      <c r="C8" s="3" t="inlineStr">
        <is>
          <t>主任</t>
        </is>
      </c>
      <c r="D8" s="3" t="inlineStr">
        <is>
          <t>30%</t>
        </is>
      </c>
    </row>
    <row r="9" ht="20" customHeight="1">
      <c r="A9" s="3" t="inlineStr">
        <is>
          <t>一般</t>
        </is>
      </c>
      <c r="B9" s="3" t="inlineStr">
        <is>
          <t>20%</t>
        </is>
      </c>
      <c r="C9" s="3" t="inlineStr"/>
      <c r="D9" s="3" t="inlineStr"/>
    </row>
    <row r="10" ht="20" customHeight="1">
      <c r="A10" s="2" t="inlineStr">
        <is>
          <t>■入力方法</t>
        </is>
      </c>
      <c r="B10" s="2" t="inlineStr"/>
      <c r="C10" s="2" t="inlineStr"/>
      <c r="D10" s="2" t="inlineStr"/>
    </row>
    <row r="11" ht="20" customHeight="1">
      <c r="A11" s="3" t="inlineStr">
        <is>
          <t>結果(O列)</t>
        </is>
      </c>
      <c r="B11" s="3" t="inlineStr">
        <is>
          <t>実績を入力</t>
        </is>
      </c>
      <c r="C11" s="3" t="inlineStr">
        <is>
          <t>尺度結果(P列)</t>
        </is>
      </c>
      <c r="D11" s="3" t="inlineStr">
        <is>
          <t>ドロップダウン0〜100</t>
        </is>
      </c>
    </row>
    <row r="12" ht="20" customHeight="1">
      <c r="A12" s="3" t="inlineStr">
        <is>
          <t>重み×尺度(Q列)</t>
        </is>
      </c>
      <c r="B12" s="3" t="inlineStr">
        <is>
          <t>自動計算</t>
        </is>
      </c>
      <c r="C12" s="3" t="inlineStr">
        <is>
          <t>合計点</t>
        </is>
      </c>
      <c r="D12" s="3" t="inlineStr">
        <is>
          <t>自動計算</t>
        </is>
      </c>
    </row>
    <row r="15" ht="18" customHeight="1">
      <c r="A15" s="4" t="inlineStr">
        <is>
          <t>■社員一覧（27名）</t>
        </is>
      </c>
    </row>
    <row r="16">
      <c r="A16" s="5" t="inlineStr">
        <is>
          <t>No.</t>
        </is>
      </c>
      <c r="B16" s="5" t="inlineStr">
        <is>
          <t>氏名</t>
        </is>
      </c>
      <c r="C16" s="5" t="inlineStr">
        <is>
          <t>部署</t>
        </is>
      </c>
      <c r="D16" s="5" t="inlineStr">
        <is>
          <t>役職</t>
        </is>
      </c>
    </row>
    <row r="17" ht="18" customHeight="1">
      <c r="A17" s="6" t="n">
        <v>1</v>
      </c>
      <c r="B17" s="3" t="inlineStr">
        <is>
          <t>細田</t>
        </is>
      </c>
      <c r="C17" s="3" t="inlineStr">
        <is>
          <t>リーシング</t>
        </is>
      </c>
      <c r="D17" s="3" t="inlineStr">
        <is>
          <t>課長代理</t>
        </is>
      </c>
    </row>
    <row r="18" ht="18" customHeight="1">
      <c r="A18" s="7" t="n">
        <v>2</v>
      </c>
      <c r="B18" s="8" t="inlineStr">
        <is>
          <t>本多</t>
        </is>
      </c>
      <c r="C18" s="8" t="inlineStr">
        <is>
          <t>リーシング</t>
        </is>
      </c>
      <c r="D18" s="8" t="inlineStr">
        <is>
          <t>一般</t>
        </is>
      </c>
    </row>
    <row r="19" ht="18" customHeight="1">
      <c r="A19" s="6" t="n">
        <v>3</v>
      </c>
      <c r="B19" s="3" t="inlineStr">
        <is>
          <t>西村</t>
        </is>
      </c>
      <c r="C19" s="3" t="inlineStr">
        <is>
          <t>リーシング</t>
        </is>
      </c>
      <c r="D19" s="3" t="inlineStr">
        <is>
          <t>一般</t>
        </is>
      </c>
    </row>
    <row r="20" ht="18" customHeight="1">
      <c r="A20" s="7" t="n">
        <v>4</v>
      </c>
      <c r="B20" s="8" t="inlineStr">
        <is>
          <t>村田</t>
        </is>
      </c>
      <c r="C20" s="8" t="inlineStr">
        <is>
          <t>リーシング</t>
        </is>
      </c>
      <c r="D20" s="8" t="inlineStr">
        <is>
          <t>一般</t>
        </is>
      </c>
    </row>
    <row r="21" ht="18" customHeight="1">
      <c r="A21" s="6" t="n">
        <v>5</v>
      </c>
      <c r="B21" s="3" t="inlineStr">
        <is>
          <t>吉田</t>
        </is>
      </c>
      <c r="C21" s="3" t="inlineStr">
        <is>
          <t>リーシング</t>
        </is>
      </c>
      <c r="D21" s="3" t="inlineStr">
        <is>
          <t>一般</t>
        </is>
      </c>
    </row>
    <row r="22" ht="18" customHeight="1">
      <c r="A22" s="7" t="n">
        <v>6</v>
      </c>
      <c r="B22" s="8" t="inlineStr">
        <is>
          <t>LS新人①</t>
        </is>
      </c>
      <c r="C22" s="8" t="inlineStr">
        <is>
          <t>リーシング</t>
        </is>
      </c>
      <c r="D22" s="8" t="inlineStr">
        <is>
          <t>新人</t>
        </is>
      </c>
    </row>
    <row r="23" ht="18" customHeight="1">
      <c r="A23" s="6" t="n">
        <v>7</v>
      </c>
      <c r="B23" s="3" t="inlineStr">
        <is>
          <t>LS新人②</t>
        </is>
      </c>
      <c r="C23" s="3" t="inlineStr">
        <is>
          <t>リーシング</t>
        </is>
      </c>
      <c r="D23" s="3" t="inlineStr">
        <is>
          <t>新人</t>
        </is>
      </c>
    </row>
    <row r="24" ht="18" customHeight="1">
      <c r="A24" s="7" t="n">
        <v>8</v>
      </c>
      <c r="B24" s="8" t="inlineStr">
        <is>
          <t>奥村</t>
        </is>
      </c>
      <c r="C24" s="8" t="inlineStr">
        <is>
          <t>カスタマー</t>
        </is>
      </c>
      <c r="D24" s="8" t="inlineStr">
        <is>
          <t>課長代理</t>
        </is>
      </c>
    </row>
    <row r="25" ht="18" customHeight="1">
      <c r="A25" s="6" t="n">
        <v>9</v>
      </c>
      <c r="B25" s="3" t="inlineStr">
        <is>
          <t>CS新人①</t>
        </is>
      </c>
      <c r="C25" s="3" t="inlineStr">
        <is>
          <t>カスタマー</t>
        </is>
      </c>
      <c r="D25" s="3" t="inlineStr">
        <is>
          <t>新人</t>
        </is>
      </c>
    </row>
    <row r="26" ht="18" customHeight="1">
      <c r="A26" s="7" t="n">
        <v>10</v>
      </c>
      <c r="B26" s="8" t="inlineStr">
        <is>
          <t>CS新人②</t>
        </is>
      </c>
      <c r="C26" s="8" t="inlineStr">
        <is>
          <t>カスタマー</t>
        </is>
      </c>
      <c r="D26" s="8" t="inlineStr">
        <is>
          <t>新人</t>
        </is>
      </c>
    </row>
    <row r="27" ht="18" customHeight="1">
      <c r="A27" s="6" t="n">
        <v>11</v>
      </c>
      <c r="B27" s="3" t="inlineStr">
        <is>
          <t>野方</t>
        </is>
      </c>
      <c r="C27" s="3" t="inlineStr">
        <is>
          <t>経営企画</t>
        </is>
      </c>
      <c r="D27" s="3" t="inlineStr">
        <is>
          <t>課長</t>
        </is>
      </c>
    </row>
    <row r="28" ht="18" customHeight="1">
      <c r="A28" s="7" t="n">
        <v>12</v>
      </c>
      <c r="B28" s="8" t="inlineStr">
        <is>
          <t>KK新人①</t>
        </is>
      </c>
      <c r="C28" s="8" t="inlineStr">
        <is>
          <t>経営企画</t>
        </is>
      </c>
      <c r="D28" s="8" t="inlineStr">
        <is>
          <t>新人</t>
        </is>
      </c>
    </row>
    <row r="29" ht="18" customHeight="1">
      <c r="A29" s="6" t="n">
        <v>13</v>
      </c>
      <c r="B29" s="3" t="inlineStr">
        <is>
          <t>KK新人②</t>
        </is>
      </c>
      <c r="C29" s="3" t="inlineStr">
        <is>
          <t>経営企画</t>
        </is>
      </c>
      <c r="D29" s="3" t="inlineStr">
        <is>
          <t>新人</t>
        </is>
      </c>
    </row>
    <row r="30" ht="18" customHeight="1">
      <c r="A30" s="7" t="n">
        <v>14</v>
      </c>
      <c r="B30" s="8" t="inlineStr">
        <is>
          <t>鹿山</t>
        </is>
      </c>
      <c r="C30" s="8" t="inlineStr">
        <is>
          <t>民泊課</t>
        </is>
      </c>
      <c r="D30" s="8" t="inlineStr">
        <is>
          <t>一般</t>
        </is>
      </c>
    </row>
    <row r="31" ht="18" customHeight="1">
      <c r="A31" s="6" t="n">
        <v>15</v>
      </c>
      <c r="B31" s="3" t="inlineStr">
        <is>
          <t>虞</t>
        </is>
      </c>
      <c r="C31" s="3" t="inlineStr">
        <is>
          <t>民泊課</t>
        </is>
      </c>
      <c r="D31" s="3" t="inlineStr">
        <is>
          <t>一般</t>
        </is>
      </c>
    </row>
    <row r="32" ht="18" customHeight="1">
      <c r="A32" s="7" t="n">
        <v>16</v>
      </c>
      <c r="B32" s="8" t="inlineStr">
        <is>
          <t>MB新人①</t>
        </is>
      </c>
      <c r="C32" s="8" t="inlineStr">
        <is>
          <t>民泊課</t>
        </is>
      </c>
      <c r="D32" s="8" t="inlineStr">
        <is>
          <t>新人</t>
        </is>
      </c>
    </row>
    <row r="33" ht="18" customHeight="1">
      <c r="A33" s="6" t="n">
        <v>17</v>
      </c>
      <c r="B33" s="3" t="inlineStr">
        <is>
          <t>MB新人②</t>
        </is>
      </c>
      <c r="C33" s="3" t="inlineStr">
        <is>
          <t>民泊課</t>
        </is>
      </c>
      <c r="D33" s="3" t="inlineStr">
        <is>
          <t>新人</t>
        </is>
      </c>
    </row>
    <row r="34" ht="18" customHeight="1">
      <c r="A34" s="7" t="n">
        <v>18</v>
      </c>
      <c r="B34" s="8" t="inlineStr">
        <is>
          <t>鬼崎</t>
        </is>
      </c>
      <c r="C34" s="8" t="inlineStr">
        <is>
          <t>総務管理</t>
        </is>
      </c>
      <c r="D34" s="8" t="inlineStr">
        <is>
          <t>課長</t>
        </is>
      </c>
    </row>
    <row r="35" ht="18" customHeight="1">
      <c r="A35" s="6" t="n">
        <v>19</v>
      </c>
      <c r="B35" s="3" t="inlineStr">
        <is>
          <t>池田</t>
        </is>
      </c>
      <c r="C35" s="3" t="inlineStr">
        <is>
          <t>総務管理</t>
        </is>
      </c>
      <c r="D35" s="3" t="inlineStr">
        <is>
          <t>主任</t>
        </is>
      </c>
    </row>
    <row r="36" ht="18" customHeight="1">
      <c r="A36" s="7" t="n">
        <v>20</v>
      </c>
      <c r="B36" s="8" t="inlineStr">
        <is>
          <t>田尻</t>
        </is>
      </c>
      <c r="C36" s="8" t="inlineStr">
        <is>
          <t>総務管理</t>
        </is>
      </c>
      <c r="D36" s="8" t="inlineStr">
        <is>
          <t>一般</t>
        </is>
      </c>
    </row>
    <row r="37" ht="18" customHeight="1">
      <c r="A37" s="6" t="n">
        <v>21</v>
      </c>
      <c r="B37" s="3" t="inlineStr">
        <is>
          <t>宮本</t>
        </is>
      </c>
      <c r="C37" s="3" t="inlineStr">
        <is>
          <t>総務管理</t>
        </is>
      </c>
      <c r="D37" s="3" t="inlineStr">
        <is>
          <t>一般</t>
        </is>
      </c>
    </row>
    <row r="38" ht="18" customHeight="1">
      <c r="A38" s="7" t="n">
        <v>22</v>
      </c>
      <c r="B38" s="8" t="inlineStr">
        <is>
          <t>松尾</t>
        </is>
      </c>
      <c r="C38" s="8" t="inlineStr">
        <is>
          <t>総務管理</t>
        </is>
      </c>
      <c r="D38" s="8" t="inlineStr">
        <is>
          <t>一般</t>
        </is>
      </c>
    </row>
    <row r="39" ht="18" customHeight="1">
      <c r="A39" s="6" t="n">
        <v>23</v>
      </c>
      <c r="B39" s="3" t="inlineStr">
        <is>
          <t>SZ新人①</t>
        </is>
      </c>
      <c r="C39" s="3" t="inlineStr">
        <is>
          <t>総務管理</t>
        </is>
      </c>
      <c r="D39" s="3" t="inlineStr">
        <is>
          <t>新人</t>
        </is>
      </c>
    </row>
    <row r="40" ht="18" customHeight="1">
      <c r="A40" s="7" t="n">
        <v>24</v>
      </c>
      <c r="B40" s="8" t="inlineStr">
        <is>
          <t>SZ新人②</t>
        </is>
      </c>
      <c r="C40" s="8" t="inlineStr">
        <is>
          <t>総務管理</t>
        </is>
      </c>
      <c r="D40" s="8" t="inlineStr">
        <is>
          <t>新人</t>
        </is>
      </c>
    </row>
    <row r="41" ht="18" customHeight="1">
      <c r="A41" s="6" t="n">
        <v>25</v>
      </c>
      <c r="B41" s="3" t="inlineStr">
        <is>
          <t>沖田</t>
        </is>
      </c>
      <c r="C41" s="3" t="inlineStr">
        <is>
          <t>管理推進</t>
        </is>
      </c>
      <c r="D41" s="3" t="inlineStr">
        <is>
          <t>一般</t>
        </is>
      </c>
    </row>
    <row r="42" ht="18" customHeight="1">
      <c r="A42" s="7" t="n">
        <v>26</v>
      </c>
      <c r="B42" s="8" t="inlineStr">
        <is>
          <t>KS新人①</t>
        </is>
      </c>
      <c r="C42" s="8" t="inlineStr">
        <is>
          <t>管理推進</t>
        </is>
      </c>
      <c r="D42" s="8" t="inlineStr">
        <is>
          <t>新人</t>
        </is>
      </c>
    </row>
    <row r="43" ht="18" customHeight="1">
      <c r="A43" s="6" t="n">
        <v>27</v>
      </c>
      <c r="B43" s="3" t="inlineStr">
        <is>
          <t>KS新人②</t>
        </is>
      </c>
      <c r="C43" s="3" t="inlineStr">
        <is>
          <t>管理推進</t>
        </is>
      </c>
      <c r="D43" s="3" t="inlineStr">
        <is>
          <t>新人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リーシング 課長代理 細田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2" t="inlineStr">
        <is>
          <t>売上目標達成（全社）</t>
        </is>
      </c>
      <c r="B5" s="13" t="n">
        <v>0.35</v>
      </c>
      <c r="C5" s="14" t="inlineStr">
        <is>
          <t>75未満</t>
        </is>
      </c>
      <c r="D5" s="14" t="n">
        <v>75</v>
      </c>
      <c r="E5" s="14" t="n">
        <v>80</v>
      </c>
      <c r="F5" s="14" t="n">
        <v>85</v>
      </c>
      <c r="G5" s="14" t="n">
        <v>90</v>
      </c>
      <c r="H5" s="14" t="n">
        <v>95</v>
      </c>
      <c r="I5" s="14" t="n">
        <v>100</v>
      </c>
      <c r="J5" s="14" t="n">
        <v>105</v>
      </c>
      <c r="K5" s="14" t="n">
        <v>110</v>
      </c>
      <c r="L5" s="14" t="n">
        <v>115</v>
      </c>
      <c r="M5" s="14" t="inlineStr">
        <is>
          <t>120〜</t>
        </is>
      </c>
      <c r="N5" s="15" t="inlineStr">
        <is>
          <t>%</t>
        </is>
      </c>
      <c r="O5" s="16" t="n"/>
      <c r="P5" s="16" t="n"/>
      <c r="Q5" s="17">
        <f>IF(OR(P5="",NOT(ISNUMBER(P5))),"—",B5*P5/100)</f>
        <v/>
      </c>
    </row>
    <row r="6" ht="30" customHeight="1">
      <c r="A6" s="12" t="inlineStr">
        <is>
          <t>家賃収入売上UP（課）</t>
        </is>
      </c>
      <c r="B6" s="13" t="n">
        <v>0.4</v>
      </c>
      <c r="C6" s="14" t="inlineStr">
        <is>
          <t>12未満</t>
        </is>
      </c>
      <c r="D6" s="14" t="n">
        <v>12</v>
      </c>
      <c r="E6" s="14" t="n">
        <v>15</v>
      </c>
      <c r="F6" s="14" t="n">
        <v>18</v>
      </c>
      <c r="G6" s="14" t="n">
        <v>21</v>
      </c>
      <c r="H6" s="14" t="n">
        <v>24</v>
      </c>
      <c r="I6" s="14" t="n">
        <v>27</v>
      </c>
      <c r="J6" s="14" t="n">
        <v>30</v>
      </c>
      <c r="K6" s="14" t="n">
        <v>33</v>
      </c>
      <c r="L6" s="14" t="n">
        <v>36</v>
      </c>
      <c r="M6" s="14" t="inlineStr">
        <is>
          <t>39〜</t>
        </is>
      </c>
      <c r="N6" s="15" t="inlineStr">
        <is>
          <t>件</t>
        </is>
      </c>
      <c r="O6" s="16" t="n"/>
      <c r="P6" s="16" t="n"/>
      <c r="Q6" s="17">
        <f>IF(OR(P6="",NOT(ISNUMBER(P6))),"—",B6*P6/100)</f>
        <v/>
      </c>
    </row>
    <row r="7" ht="30" customHeight="1">
      <c r="A7" s="12" t="inlineStr">
        <is>
          <t>仲介手数料売上UP（課）</t>
        </is>
      </c>
      <c r="B7" s="13" t="n">
        <v>0.25</v>
      </c>
      <c r="C7" s="14" t="inlineStr">
        <is>
          <t>9未満</t>
        </is>
      </c>
      <c r="D7" s="14" t="n">
        <v>9</v>
      </c>
      <c r="E7" s="14" t="n">
        <v>12</v>
      </c>
      <c r="F7" s="14" t="n">
        <v>15</v>
      </c>
      <c r="G7" s="14" t="n">
        <v>18</v>
      </c>
      <c r="H7" s="14" t="n">
        <v>21</v>
      </c>
      <c r="I7" s="14" t="n">
        <v>24</v>
      </c>
      <c r="J7" s="14" t="n">
        <v>27</v>
      </c>
      <c r="K7" s="14" t="n">
        <v>30</v>
      </c>
      <c r="L7" s="14" t="n">
        <v>33</v>
      </c>
      <c r="M7" s="14" t="inlineStr">
        <is>
          <t>36〜</t>
        </is>
      </c>
      <c r="N7" s="15" t="inlineStr">
        <is>
          <t>件</t>
        </is>
      </c>
      <c r="O7" s="16" t="n"/>
      <c r="P7" s="16" t="n"/>
      <c r="Q7" s="17">
        <f>IF(OR(P7="",NOT(ISNUMBER(P7))),"—",B7*P7/100)</f>
        <v/>
      </c>
    </row>
    <row r="8" ht="30" customHeight="1">
      <c r="A8" s="18" t="inlineStr">
        <is>
          <t>【加点】入居率アップ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>
        <is>
          <t>件</t>
        </is>
      </c>
      <c r="O8" s="16" t="n"/>
      <c r="P8" s="16" t="n"/>
      <c r="Q8" s="22" t="inlineStr">
        <is>
          <t>—</t>
        </is>
      </c>
    </row>
    <row r="9" ht="30" customHeight="1">
      <c r="A9" s="18" t="inlineStr">
        <is>
          <t>【加点】テナント物件成約</t>
        </is>
      </c>
      <c r="B9" s="19" t="inlineStr">
        <is>
          <t>加点</t>
        </is>
      </c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1" t="inlineStr">
        <is>
          <t>件</t>
        </is>
      </c>
      <c r="O9" s="16" t="n"/>
      <c r="P9" s="16" t="n"/>
      <c r="Q9" s="22" t="inlineStr">
        <is>
          <t>—</t>
        </is>
      </c>
    </row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2" t="inlineStr">
        <is>
          <t>売上目標達成（全社）</t>
        </is>
      </c>
      <c r="B17" s="13" t="n">
        <v>0.35</v>
      </c>
      <c r="C17" s="14" t="inlineStr">
        <is>
          <t>75未満</t>
        </is>
      </c>
      <c r="D17" s="14" t="n">
        <v>75</v>
      </c>
      <c r="E17" s="14" t="n">
        <v>80</v>
      </c>
      <c r="F17" s="14" t="n">
        <v>85</v>
      </c>
      <c r="G17" s="14" t="n">
        <v>90</v>
      </c>
      <c r="H17" s="14" t="n">
        <v>95</v>
      </c>
      <c r="I17" s="14" t="n">
        <v>100</v>
      </c>
      <c r="J17" s="14" t="n">
        <v>105</v>
      </c>
      <c r="K17" s="14" t="n">
        <v>110</v>
      </c>
      <c r="L17" s="14" t="n">
        <v>115</v>
      </c>
      <c r="M17" s="14" t="inlineStr">
        <is>
          <t>120〜</t>
        </is>
      </c>
      <c r="N17" s="15" t="inlineStr">
        <is>
          <t>%</t>
        </is>
      </c>
      <c r="O17" s="16" t="n"/>
      <c r="P17" s="16" t="n"/>
      <c r="Q17" s="17">
        <f>IF(OR(P17="",NOT(ISNUMBER(P17))),"—",B17*P17/100)</f>
        <v/>
      </c>
    </row>
    <row r="18" ht="30" customHeight="1">
      <c r="A18" s="12" t="inlineStr">
        <is>
          <t>家賃収入売上UP（課）</t>
        </is>
      </c>
      <c r="B18" s="13" t="n">
        <v>0.4</v>
      </c>
      <c r="C18" s="14" t="inlineStr">
        <is>
          <t>12未満</t>
        </is>
      </c>
      <c r="D18" s="14" t="n">
        <v>12</v>
      </c>
      <c r="E18" s="14" t="n">
        <v>15</v>
      </c>
      <c r="F18" s="14" t="n">
        <v>18</v>
      </c>
      <c r="G18" s="14" t="n">
        <v>21</v>
      </c>
      <c r="H18" s="14" t="n">
        <v>24</v>
      </c>
      <c r="I18" s="14" t="n">
        <v>27</v>
      </c>
      <c r="J18" s="14" t="n">
        <v>30</v>
      </c>
      <c r="K18" s="14" t="n">
        <v>33</v>
      </c>
      <c r="L18" s="14" t="n">
        <v>36</v>
      </c>
      <c r="M18" s="14" t="inlineStr">
        <is>
          <t>39〜</t>
        </is>
      </c>
      <c r="N18" s="15" t="inlineStr">
        <is>
          <t>件</t>
        </is>
      </c>
      <c r="O18" s="16" t="n"/>
      <c r="P18" s="16" t="n"/>
      <c r="Q18" s="17">
        <f>IF(OR(P18="",NOT(ISNUMBER(P18))),"—",B18*P18/100)</f>
        <v/>
      </c>
    </row>
    <row r="19" ht="30" customHeight="1">
      <c r="A19" s="12" t="inlineStr">
        <is>
          <t>仲介手数料売上UP（課）</t>
        </is>
      </c>
      <c r="B19" s="13" t="n">
        <v>0.25</v>
      </c>
      <c r="C19" s="14" t="inlineStr">
        <is>
          <t>9未満</t>
        </is>
      </c>
      <c r="D19" s="14" t="n">
        <v>9</v>
      </c>
      <c r="E19" s="14" t="n">
        <v>12</v>
      </c>
      <c r="F19" s="14" t="n">
        <v>15</v>
      </c>
      <c r="G19" s="14" t="n">
        <v>18</v>
      </c>
      <c r="H19" s="14" t="n">
        <v>21</v>
      </c>
      <c r="I19" s="14" t="n">
        <v>24</v>
      </c>
      <c r="J19" s="14" t="n">
        <v>27</v>
      </c>
      <c r="K19" s="14" t="n">
        <v>30</v>
      </c>
      <c r="L19" s="14" t="n">
        <v>33</v>
      </c>
      <c r="M19" s="14" t="inlineStr">
        <is>
          <t>36〜</t>
        </is>
      </c>
      <c r="N19" s="15" t="inlineStr">
        <is>
          <t>件</t>
        </is>
      </c>
      <c r="O19" s="16" t="n"/>
      <c r="P19" s="16" t="n"/>
      <c r="Q19" s="17">
        <f>IF(OR(P19="",NOT(ISNUMBER(P19))),"—",B19*P19/100)</f>
        <v/>
      </c>
    </row>
    <row r="20" ht="30" customHeight="1">
      <c r="A20" s="18" t="inlineStr">
        <is>
          <t>【加点】入居率アップ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>
        <is>
          <t>件</t>
        </is>
      </c>
      <c r="O20" s="16" t="n"/>
      <c r="P20" s="16" t="n"/>
      <c r="Q20" s="22" t="inlineStr">
        <is>
          <t>—</t>
        </is>
      </c>
    </row>
    <row r="21" ht="30" customHeight="1">
      <c r="A21" s="18" t="inlineStr">
        <is>
          <t>【加点】テナント物件成約</t>
        </is>
      </c>
      <c r="B21" s="19" t="inlineStr">
        <is>
          <t>加点</t>
        </is>
      </c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1" t="inlineStr">
        <is>
          <t>件</t>
        </is>
      </c>
      <c r="O21" s="16" t="n"/>
      <c r="P21" s="16" t="n"/>
      <c r="Q21" s="22" t="inlineStr">
        <is>
          <t>—</t>
        </is>
      </c>
    </row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2" t="inlineStr">
        <is>
          <t>売上目標達成（全社）</t>
        </is>
      </c>
      <c r="B29" s="13" t="n">
        <v>0.35</v>
      </c>
      <c r="C29" s="14" t="inlineStr">
        <is>
          <t>75未満</t>
        </is>
      </c>
      <c r="D29" s="14" t="n">
        <v>75</v>
      </c>
      <c r="E29" s="14" t="n">
        <v>80</v>
      </c>
      <c r="F29" s="14" t="n">
        <v>85</v>
      </c>
      <c r="G29" s="14" t="n">
        <v>90</v>
      </c>
      <c r="H29" s="14" t="n">
        <v>95</v>
      </c>
      <c r="I29" s="14" t="n">
        <v>100</v>
      </c>
      <c r="J29" s="14" t="n">
        <v>105</v>
      </c>
      <c r="K29" s="14" t="n">
        <v>110</v>
      </c>
      <c r="L29" s="14" t="n">
        <v>115</v>
      </c>
      <c r="M29" s="14" t="inlineStr">
        <is>
          <t>120〜</t>
        </is>
      </c>
      <c r="N29" s="15" t="inlineStr">
        <is>
          <t>%</t>
        </is>
      </c>
      <c r="O29" s="16" t="n"/>
      <c r="P29" s="16" t="n"/>
      <c r="Q29" s="17">
        <f>IF(OR(P29="",NOT(ISNUMBER(P29))),"—",B29*P29/100)</f>
        <v/>
      </c>
    </row>
    <row r="30" ht="30" customHeight="1">
      <c r="A30" s="12" t="inlineStr">
        <is>
          <t>家賃収入売上UP（課）</t>
        </is>
      </c>
      <c r="B30" s="13" t="n">
        <v>0.4</v>
      </c>
      <c r="C30" s="14" t="inlineStr">
        <is>
          <t>12未満</t>
        </is>
      </c>
      <c r="D30" s="14" t="n">
        <v>12</v>
      </c>
      <c r="E30" s="14" t="n">
        <v>15</v>
      </c>
      <c r="F30" s="14" t="n">
        <v>18</v>
      </c>
      <c r="G30" s="14" t="n">
        <v>21</v>
      </c>
      <c r="H30" s="14" t="n">
        <v>24</v>
      </c>
      <c r="I30" s="14" t="n">
        <v>27</v>
      </c>
      <c r="J30" s="14" t="n">
        <v>30</v>
      </c>
      <c r="K30" s="14" t="n">
        <v>33</v>
      </c>
      <c r="L30" s="14" t="n">
        <v>36</v>
      </c>
      <c r="M30" s="14" t="inlineStr">
        <is>
          <t>39〜</t>
        </is>
      </c>
      <c r="N30" s="15" t="inlineStr">
        <is>
          <t>件</t>
        </is>
      </c>
      <c r="O30" s="16" t="n"/>
      <c r="P30" s="16" t="n"/>
      <c r="Q30" s="17">
        <f>IF(OR(P30="",NOT(ISNUMBER(P30))),"—",B30*P30/100)</f>
        <v/>
      </c>
    </row>
    <row r="31" ht="30" customHeight="1">
      <c r="A31" s="12" t="inlineStr">
        <is>
          <t>仲介手数料売上UP（課）</t>
        </is>
      </c>
      <c r="B31" s="13" t="n">
        <v>0.25</v>
      </c>
      <c r="C31" s="14" t="inlineStr">
        <is>
          <t>9未満</t>
        </is>
      </c>
      <c r="D31" s="14" t="n">
        <v>9</v>
      </c>
      <c r="E31" s="14" t="n">
        <v>12</v>
      </c>
      <c r="F31" s="14" t="n">
        <v>15</v>
      </c>
      <c r="G31" s="14" t="n">
        <v>18</v>
      </c>
      <c r="H31" s="14" t="n">
        <v>21</v>
      </c>
      <c r="I31" s="14" t="n">
        <v>24</v>
      </c>
      <c r="J31" s="14" t="n">
        <v>27</v>
      </c>
      <c r="K31" s="14" t="n">
        <v>30</v>
      </c>
      <c r="L31" s="14" t="n">
        <v>33</v>
      </c>
      <c r="M31" s="14" t="inlineStr">
        <is>
          <t>36〜</t>
        </is>
      </c>
      <c r="N31" s="15" t="inlineStr">
        <is>
          <t>件</t>
        </is>
      </c>
      <c r="O31" s="16" t="n"/>
      <c r="P31" s="16" t="n"/>
      <c r="Q31" s="17">
        <f>IF(OR(P31="",NOT(ISNUMBER(P31))),"—",B31*P31/100)</f>
        <v/>
      </c>
    </row>
    <row r="32" ht="30" customHeight="1">
      <c r="A32" s="18" t="inlineStr">
        <is>
          <t>【加点】入居率アップ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>
        <is>
          <t>件</t>
        </is>
      </c>
      <c r="O32" s="16" t="n"/>
      <c r="P32" s="16" t="n"/>
      <c r="Q32" s="22" t="inlineStr">
        <is>
          <t>—</t>
        </is>
      </c>
    </row>
    <row r="33" ht="30" customHeight="1">
      <c r="A33" s="18" t="inlineStr">
        <is>
          <t>【加点】テナント物件成約</t>
        </is>
      </c>
      <c r="B33" s="19" t="inlineStr">
        <is>
          <t>加点</t>
        </is>
      </c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0" t="inlineStr"/>
      <c r="L33" s="20" t="inlineStr"/>
      <c r="M33" s="20" t="inlineStr"/>
      <c r="N33" s="21" t="inlineStr">
        <is>
          <t>件</t>
        </is>
      </c>
      <c r="O33" s="16" t="n"/>
      <c r="P33" s="16" t="n"/>
      <c r="Q33" s="22" t="inlineStr">
        <is>
          <t>—</t>
        </is>
      </c>
    </row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2" t="inlineStr">
        <is>
          <t>売上目標達成（全社）</t>
        </is>
      </c>
      <c r="B41" s="13" t="n">
        <v>0.35</v>
      </c>
      <c r="C41" s="14" t="inlineStr">
        <is>
          <t>75未満</t>
        </is>
      </c>
      <c r="D41" s="14" t="n">
        <v>75</v>
      </c>
      <c r="E41" s="14" t="n">
        <v>80</v>
      </c>
      <c r="F41" s="14" t="n">
        <v>85</v>
      </c>
      <c r="G41" s="14" t="n">
        <v>90</v>
      </c>
      <c r="H41" s="14" t="n">
        <v>95</v>
      </c>
      <c r="I41" s="14" t="n">
        <v>100</v>
      </c>
      <c r="J41" s="14" t="n">
        <v>105</v>
      </c>
      <c r="K41" s="14" t="n">
        <v>110</v>
      </c>
      <c r="L41" s="14" t="n">
        <v>115</v>
      </c>
      <c r="M41" s="14" t="inlineStr">
        <is>
          <t>120〜</t>
        </is>
      </c>
      <c r="N41" s="15" t="inlineStr">
        <is>
          <t>%</t>
        </is>
      </c>
      <c r="O41" s="16" t="n"/>
      <c r="P41" s="16" t="n"/>
      <c r="Q41" s="17">
        <f>IF(OR(P41="",NOT(ISNUMBER(P41))),"—",B41*P41/100)</f>
        <v/>
      </c>
    </row>
    <row r="42" ht="30" customHeight="1">
      <c r="A42" s="12" t="inlineStr">
        <is>
          <t>家賃収入売上UP（課）</t>
        </is>
      </c>
      <c r="B42" s="13" t="n">
        <v>0.4</v>
      </c>
      <c r="C42" s="14" t="inlineStr">
        <is>
          <t>12未満</t>
        </is>
      </c>
      <c r="D42" s="14" t="n">
        <v>12</v>
      </c>
      <c r="E42" s="14" t="n">
        <v>15</v>
      </c>
      <c r="F42" s="14" t="n">
        <v>18</v>
      </c>
      <c r="G42" s="14" t="n">
        <v>21</v>
      </c>
      <c r="H42" s="14" t="n">
        <v>24</v>
      </c>
      <c r="I42" s="14" t="n">
        <v>27</v>
      </c>
      <c r="J42" s="14" t="n">
        <v>30</v>
      </c>
      <c r="K42" s="14" t="n">
        <v>33</v>
      </c>
      <c r="L42" s="14" t="n">
        <v>36</v>
      </c>
      <c r="M42" s="14" t="inlineStr">
        <is>
          <t>39〜</t>
        </is>
      </c>
      <c r="N42" s="15" t="inlineStr">
        <is>
          <t>件</t>
        </is>
      </c>
      <c r="O42" s="16" t="n"/>
      <c r="P42" s="16" t="n"/>
      <c r="Q42" s="17">
        <f>IF(OR(P42="",NOT(ISNUMBER(P42))),"—",B42*P42/100)</f>
        <v/>
      </c>
    </row>
    <row r="43" ht="30" customHeight="1">
      <c r="A43" s="12" t="inlineStr">
        <is>
          <t>仲介手数料売上UP（課）</t>
        </is>
      </c>
      <c r="B43" s="13" t="n">
        <v>0.25</v>
      </c>
      <c r="C43" s="14" t="inlineStr">
        <is>
          <t>9未満</t>
        </is>
      </c>
      <c r="D43" s="14" t="n">
        <v>9</v>
      </c>
      <c r="E43" s="14" t="n">
        <v>12</v>
      </c>
      <c r="F43" s="14" t="n">
        <v>15</v>
      </c>
      <c r="G43" s="14" t="n">
        <v>18</v>
      </c>
      <c r="H43" s="14" t="n">
        <v>21</v>
      </c>
      <c r="I43" s="14" t="n">
        <v>24</v>
      </c>
      <c r="J43" s="14" t="n">
        <v>27</v>
      </c>
      <c r="K43" s="14" t="n">
        <v>30</v>
      </c>
      <c r="L43" s="14" t="n">
        <v>33</v>
      </c>
      <c r="M43" s="14" t="inlineStr">
        <is>
          <t>36〜</t>
        </is>
      </c>
      <c r="N43" s="15" t="inlineStr">
        <is>
          <t>件</t>
        </is>
      </c>
      <c r="O43" s="16" t="n"/>
      <c r="P43" s="16" t="n"/>
      <c r="Q43" s="17">
        <f>IF(OR(P43="",NOT(ISNUMBER(P43))),"—",B43*P43/100)</f>
        <v/>
      </c>
    </row>
    <row r="44" ht="30" customHeight="1">
      <c r="A44" s="18" t="inlineStr">
        <is>
          <t>【加点】入居率アップ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>
        <is>
          <t>件</t>
        </is>
      </c>
      <c r="O44" s="16" t="n"/>
      <c r="P44" s="16" t="n"/>
      <c r="Q44" s="22" t="inlineStr">
        <is>
          <t>—</t>
        </is>
      </c>
    </row>
    <row r="45" ht="30" customHeight="1">
      <c r="A45" s="18" t="inlineStr">
        <is>
          <t>【加点】テナント物件成約</t>
        </is>
      </c>
      <c r="B45" s="19" t="inlineStr">
        <is>
          <t>加点</t>
        </is>
      </c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20" t="inlineStr"/>
      <c r="M45" s="20" t="inlineStr"/>
      <c r="N45" s="21" t="inlineStr">
        <is>
          <t>件</t>
        </is>
      </c>
      <c r="O45" s="16" t="n"/>
      <c r="P45" s="16" t="n"/>
      <c r="Q45" s="22" t="inlineStr">
        <is>
          <t>—</t>
        </is>
      </c>
    </row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リーシング 一般 本多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リーシング 一般 西村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リーシング 一般 村田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リーシング 一般 吉田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リーシング 新人 LS新人①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リーシング 新人 LS新人②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カスタマー 課長代理 奥村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2" t="inlineStr">
        <is>
          <t>売上目標達成（全社）</t>
        </is>
      </c>
      <c r="B5" s="13" t="n">
        <v>0.35</v>
      </c>
      <c r="C5" s="14" t="inlineStr">
        <is>
          <t>75未満</t>
        </is>
      </c>
      <c r="D5" s="14" t="n">
        <v>75</v>
      </c>
      <c r="E5" s="14" t="n">
        <v>80</v>
      </c>
      <c r="F5" s="14" t="n">
        <v>85</v>
      </c>
      <c r="G5" s="14" t="n">
        <v>90</v>
      </c>
      <c r="H5" s="14" t="n">
        <v>95</v>
      </c>
      <c r="I5" s="14" t="n">
        <v>100</v>
      </c>
      <c r="J5" s="14" t="n">
        <v>105</v>
      </c>
      <c r="K5" s="14" t="n">
        <v>110</v>
      </c>
      <c r="L5" s="14" t="n">
        <v>115</v>
      </c>
      <c r="M5" s="14" t="inlineStr">
        <is>
          <t>120〜</t>
        </is>
      </c>
      <c r="N5" s="15" t="inlineStr">
        <is>
          <t>%</t>
        </is>
      </c>
      <c r="O5" s="16" t="n"/>
      <c r="P5" s="16" t="n"/>
      <c r="Q5" s="17">
        <f>IF(OR(P5="",NOT(ISNUMBER(P5))),"—",B5*P5/100)</f>
        <v/>
      </c>
    </row>
    <row r="6" ht="30" customHeight="1">
      <c r="A6" s="12" t="inlineStr">
        <is>
          <t>お困りごと残件数削減（課）</t>
        </is>
      </c>
      <c r="B6" s="13" t="n">
        <v>0.25</v>
      </c>
      <c r="C6" s="14" t="inlineStr">
        <is>
          <t>91〜</t>
        </is>
      </c>
      <c r="D6" s="14" t="n">
        <v>90</v>
      </c>
      <c r="E6" s="14" t="n">
        <v>82</v>
      </c>
      <c r="F6" s="14" t="n">
        <v>74</v>
      </c>
      <c r="G6" s="14" t="n">
        <v>66</v>
      </c>
      <c r="H6" s="14" t="n">
        <v>58</v>
      </c>
      <c r="I6" s="14" t="n">
        <v>50</v>
      </c>
      <c r="J6" s="14" t="n">
        <v>42</v>
      </c>
      <c r="K6" s="14" t="n">
        <v>34</v>
      </c>
      <c r="L6" s="14" t="n">
        <v>26</v>
      </c>
      <c r="M6" s="14" t="inlineStr">
        <is>
          <t>〜18</t>
        </is>
      </c>
      <c r="N6" s="15" t="inlineStr">
        <is>
          <t>件</t>
        </is>
      </c>
      <c r="O6" s="16" t="n"/>
      <c r="P6" s="16" t="n"/>
      <c r="Q6" s="17">
        <f>IF(OR(P6="",NOT(ISNUMBER(P6))),"—",B6*P6/100)</f>
        <v/>
      </c>
    </row>
    <row r="7" ht="30" customHeight="1">
      <c r="A7" s="12" t="inlineStr">
        <is>
          <t>顧客満足度向上（課）</t>
        </is>
      </c>
      <c r="B7" s="13" t="n">
        <v>0.1</v>
      </c>
      <c r="C7" s="14" t="inlineStr">
        <is>
          <t>4.75未満</t>
        </is>
      </c>
      <c r="D7" s="14" t="inlineStr">
        <is>
          <t>—</t>
        </is>
      </c>
      <c r="E7" s="14" t="n">
        <v>4.75</v>
      </c>
      <c r="F7" s="14" t="inlineStr">
        <is>
          <t>—</t>
        </is>
      </c>
      <c r="G7" s="14" t="n">
        <v>4.8</v>
      </c>
      <c r="H7" s="14" t="inlineStr">
        <is>
          <t>—</t>
        </is>
      </c>
      <c r="I7" s="14" t="n">
        <v>4.85</v>
      </c>
      <c r="J7" s="14" t="inlineStr">
        <is>
          <t>+口コミ15</t>
        </is>
      </c>
      <c r="K7" s="14" t="n">
        <v>20</v>
      </c>
      <c r="L7" s="14" t="n">
        <v>25</v>
      </c>
      <c r="M7" s="14" t="n">
        <v>30</v>
      </c>
      <c r="N7" s="15" t="inlineStr">
        <is>
          <t>点/件</t>
        </is>
      </c>
      <c r="O7" s="16" t="n"/>
      <c r="P7" s="16" t="n"/>
      <c r="Q7" s="17">
        <f>IF(OR(P7="",NOT(ISNUMBER(P7))),"—",B7*P7/100)</f>
        <v/>
      </c>
    </row>
    <row r="8" ht="30" customHeight="1">
      <c r="A8" s="12" t="inlineStr">
        <is>
          <t>アンケート回収率UP（課）</t>
        </is>
      </c>
      <c r="B8" s="13" t="n">
        <v>0.1</v>
      </c>
      <c r="C8" s="14" t="inlineStr">
        <is>
          <t>10未満</t>
        </is>
      </c>
      <c r="D8" s="14" t="inlineStr">
        <is>
          <t>—</t>
        </is>
      </c>
      <c r="E8" s="14" t="n">
        <v>10</v>
      </c>
      <c r="F8" s="14" t="n">
        <v>15</v>
      </c>
      <c r="G8" s="14" t="n">
        <v>20</v>
      </c>
      <c r="H8" s="14" t="n">
        <v>25</v>
      </c>
      <c r="I8" s="14" t="n">
        <v>30</v>
      </c>
      <c r="J8" s="14" t="n">
        <v>35</v>
      </c>
      <c r="K8" s="14" t="n">
        <v>40</v>
      </c>
      <c r="L8" s="14" t="n">
        <v>45</v>
      </c>
      <c r="M8" s="14" t="inlineStr">
        <is>
          <t>50〜</t>
        </is>
      </c>
      <c r="N8" s="15" t="inlineStr">
        <is>
          <t>%</t>
        </is>
      </c>
      <c r="O8" s="16" t="n"/>
      <c r="P8" s="16" t="n"/>
      <c r="Q8" s="17">
        <f>IF(OR(P8="",NOT(ISNUMBER(P8))),"—",B8*P8/100)</f>
        <v/>
      </c>
    </row>
    <row r="9" ht="30" customHeight="1">
      <c r="A9" s="12" t="inlineStr">
        <is>
          <t>原状回復の対応（課）</t>
        </is>
      </c>
      <c r="B9" s="13" t="n">
        <v>0.2</v>
      </c>
      <c r="C9" s="14" t="inlineStr">
        <is>
          <t>7〜</t>
        </is>
      </c>
      <c r="D9" s="14" t="n">
        <v>6</v>
      </c>
      <c r="E9" s="14" t="n">
        <v>5</v>
      </c>
      <c r="F9" s="14" t="n">
        <v>4</v>
      </c>
      <c r="G9" s="14" t="n">
        <v>3</v>
      </c>
      <c r="H9" s="14" t="n">
        <v>2</v>
      </c>
      <c r="I9" s="14" t="n">
        <v>1</v>
      </c>
      <c r="J9" s="14" t="inlineStr">
        <is>
          <t>60点+3件</t>
        </is>
      </c>
      <c r="K9" s="14" t="inlineStr">
        <is>
          <t>+5件</t>
        </is>
      </c>
      <c r="L9" s="14" t="inlineStr">
        <is>
          <t>+7件</t>
        </is>
      </c>
      <c r="M9" s="14" t="inlineStr">
        <is>
          <t>+9件</t>
        </is>
      </c>
      <c r="N9" s="15" t="inlineStr">
        <is>
          <t>件</t>
        </is>
      </c>
      <c r="O9" s="16" t="n"/>
      <c r="P9" s="16" t="n"/>
      <c r="Q9" s="17">
        <f>IF(OR(P9="",NOT(ISNUMBER(P9))),"—",B9*P9/100)</f>
        <v/>
      </c>
    </row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2" t="inlineStr">
        <is>
          <t>売上目標達成（全社）</t>
        </is>
      </c>
      <c r="B17" s="13" t="n">
        <v>0.35</v>
      </c>
      <c r="C17" s="14" t="inlineStr">
        <is>
          <t>75未満</t>
        </is>
      </c>
      <c r="D17" s="14" t="n">
        <v>75</v>
      </c>
      <c r="E17" s="14" t="n">
        <v>80</v>
      </c>
      <c r="F17" s="14" t="n">
        <v>85</v>
      </c>
      <c r="G17" s="14" t="n">
        <v>90</v>
      </c>
      <c r="H17" s="14" t="n">
        <v>95</v>
      </c>
      <c r="I17" s="14" t="n">
        <v>100</v>
      </c>
      <c r="J17" s="14" t="n">
        <v>105</v>
      </c>
      <c r="K17" s="14" t="n">
        <v>110</v>
      </c>
      <c r="L17" s="14" t="n">
        <v>115</v>
      </c>
      <c r="M17" s="14" t="inlineStr">
        <is>
          <t>120〜</t>
        </is>
      </c>
      <c r="N17" s="15" t="inlineStr">
        <is>
          <t>%</t>
        </is>
      </c>
      <c r="O17" s="16" t="n"/>
      <c r="P17" s="16" t="n"/>
      <c r="Q17" s="17">
        <f>IF(OR(P17="",NOT(ISNUMBER(P17))),"—",B17*P17/100)</f>
        <v/>
      </c>
    </row>
    <row r="18" ht="30" customHeight="1">
      <c r="A18" s="12" t="inlineStr">
        <is>
          <t>お困りごと残件数削減（課）</t>
        </is>
      </c>
      <c r="B18" s="13" t="n">
        <v>0.25</v>
      </c>
      <c r="C18" s="14" t="inlineStr">
        <is>
          <t>91〜</t>
        </is>
      </c>
      <c r="D18" s="14" t="n">
        <v>90</v>
      </c>
      <c r="E18" s="14" t="n">
        <v>82</v>
      </c>
      <c r="F18" s="14" t="n">
        <v>74</v>
      </c>
      <c r="G18" s="14" t="n">
        <v>66</v>
      </c>
      <c r="H18" s="14" t="n">
        <v>58</v>
      </c>
      <c r="I18" s="14" t="n">
        <v>50</v>
      </c>
      <c r="J18" s="14" t="n">
        <v>42</v>
      </c>
      <c r="K18" s="14" t="n">
        <v>34</v>
      </c>
      <c r="L18" s="14" t="n">
        <v>26</v>
      </c>
      <c r="M18" s="14" t="inlineStr">
        <is>
          <t>〜18</t>
        </is>
      </c>
      <c r="N18" s="15" t="inlineStr">
        <is>
          <t>件</t>
        </is>
      </c>
      <c r="O18" s="16" t="n"/>
      <c r="P18" s="16" t="n"/>
      <c r="Q18" s="17">
        <f>IF(OR(P18="",NOT(ISNUMBER(P18))),"—",B18*P18/100)</f>
        <v/>
      </c>
    </row>
    <row r="19" ht="30" customHeight="1">
      <c r="A19" s="12" t="inlineStr">
        <is>
          <t>顧客満足度向上（課）</t>
        </is>
      </c>
      <c r="B19" s="13" t="n">
        <v>0.1</v>
      </c>
      <c r="C19" s="14" t="inlineStr">
        <is>
          <t>4.75未満</t>
        </is>
      </c>
      <c r="D19" s="14" t="inlineStr">
        <is>
          <t>—</t>
        </is>
      </c>
      <c r="E19" s="14" t="n">
        <v>4.75</v>
      </c>
      <c r="F19" s="14" t="inlineStr">
        <is>
          <t>—</t>
        </is>
      </c>
      <c r="G19" s="14" t="n">
        <v>4.8</v>
      </c>
      <c r="H19" s="14" t="inlineStr">
        <is>
          <t>—</t>
        </is>
      </c>
      <c r="I19" s="14" t="n">
        <v>4.85</v>
      </c>
      <c r="J19" s="14" t="inlineStr">
        <is>
          <t>+口コミ15</t>
        </is>
      </c>
      <c r="K19" s="14" t="n">
        <v>20</v>
      </c>
      <c r="L19" s="14" t="n">
        <v>25</v>
      </c>
      <c r="M19" s="14" t="n">
        <v>30</v>
      </c>
      <c r="N19" s="15" t="inlineStr">
        <is>
          <t>点/件</t>
        </is>
      </c>
      <c r="O19" s="16" t="n"/>
      <c r="P19" s="16" t="n"/>
      <c r="Q19" s="17">
        <f>IF(OR(P19="",NOT(ISNUMBER(P19))),"—",B19*P19/100)</f>
        <v/>
      </c>
    </row>
    <row r="20" ht="30" customHeight="1">
      <c r="A20" s="12" t="inlineStr">
        <is>
          <t>アンケート回収率UP（課）</t>
        </is>
      </c>
      <c r="B20" s="13" t="n">
        <v>0.1</v>
      </c>
      <c r="C20" s="14" t="inlineStr">
        <is>
          <t>10未満</t>
        </is>
      </c>
      <c r="D20" s="14" t="inlineStr">
        <is>
          <t>—</t>
        </is>
      </c>
      <c r="E20" s="14" t="n">
        <v>10</v>
      </c>
      <c r="F20" s="14" t="n">
        <v>15</v>
      </c>
      <c r="G20" s="14" t="n">
        <v>20</v>
      </c>
      <c r="H20" s="14" t="n">
        <v>25</v>
      </c>
      <c r="I20" s="14" t="n">
        <v>30</v>
      </c>
      <c r="J20" s="14" t="n">
        <v>35</v>
      </c>
      <c r="K20" s="14" t="n">
        <v>40</v>
      </c>
      <c r="L20" s="14" t="n">
        <v>45</v>
      </c>
      <c r="M20" s="14" t="inlineStr">
        <is>
          <t>50〜</t>
        </is>
      </c>
      <c r="N20" s="15" t="inlineStr">
        <is>
          <t>%</t>
        </is>
      </c>
      <c r="O20" s="16" t="n"/>
      <c r="P20" s="16" t="n"/>
      <c r="Q20" s="17">
        <f>IF(OR(P20="",NOT(ISNUMBER(P20))),"—",B20*P20/100)</f>
        <v/>
      </c>
    </row>
    <row r="21" ht="30" customHeight="1">
      <c r="A21" s="12" t="inlineStr">
        <is>
          <t>原状回復の対応（課）</t>
        </is>
      </c>
      <c r="B21" s="13" t="n">
        <v>0.2</v>
      </c>
      <c r="C21" s="14" t="inlineStr">
        <is>
          <t>7〜</t>
        </is>
      </c>
      <c r="D21" s="14" t="n">
        <v>6</v>
      </c>
      <c r="E21" s="14" t="n">
        <v>5</v>
      </c>
      <c r="F21" s="14" t="n">
        <v>4</v>
      </c>
      <c r="G21" s="14" t="n">
        <v>3</v>
      </c>
      <c r="H21" s="14" t="n">
        <v>2</v>
      </c>
      <c r="I21" s="14" t="n">
        <v>1</v>
      </c>
      <c r="J21" s="14" t="inlineStr">
        <is>
          <t>60点+3件</t>
        </is>
      </c>
      <c r="K21" s="14" t="inlineStr">
        <is>
          <t>+5件</t>
        </is>
      </c>
      <c r="L21" s="14" t="inlineStr">
        <is>
          <t>+7件</t>
        </is>
      </c>
      <c r="M21" s="14" t="inlineStr">
        <is>
          <t>+9件</t>
        </is>
      </c>
      <c r="N21" s="15" t="inlineStr">
        <is>
          <t>件</t>
        </is>
      </c>
      <c r="O21" s="16" t="n"/>
      <c r="P21" s="16" t="n"/>
      <c r="Q21" s="17">
        <f>IF(OR(P21="",NOT(ISNUMBER(P21))),"—",B21*P21/100)</f>
        <v/>
      </c>
    </row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2" t="inlineStr">
        <is>
          <t>売上目標達成（全社）</t>
        </is>
      </c>
      <c r="B29" s="13" t="n">
        <v>0.35</v>
      </c>
      <c r="C29" s="14" t="inlineStr">
        <is>
          <t>75未満</t>
        </is>
      </c>
      <c r="D29" s="14" t="n">
        <v>75</v>
      </c>
      <c r="E29" s="14" t="n">
        <v>80</v>
      </c>
      <c r="F29" s="14" t="n">
        <v>85</v>
      </c>
      <c r="G29" s="14" t="n">
        <v>90</v>
      </c>
      <c r="H29" s="14" t="n">
        <v>95</v>
      </c>
      <c r="I29" s="14" t="n">
        <v>100</v>
      </c>
      <c r="J29" s="14" t="n">
        <v>105</v>
      </c>
      <c r="K29" s="14" t="n">
        <v>110</v>
      </c>
      <c r="L29" s="14" t="n">
        <v>115</v>
      </c>
      <c r="M29" s="14" t="inlineStr">
        <is>
          <t>120〜</t>
        </is>
      </c>
      <c r="N29" s="15" t="inlineStr">
        <is>
          <t>%</t>
        </is>
      </c>
      <c r="O29" s="16" t="n"/>
      <c r="P29" s="16" t="n"/>
      <c r="Q29" s="17">
        <f>IF(OR(P29="",NOT(ISNUMBER(P29))),"—",B29*P29/100)</f>
        <v/>
      </c>
    </row>
    <row r="30" ht="30" customHeight="1">
      <c r="A30" s="12" t="inlineStr">
        <is>
          <t>お困りごと残件数削減（課）</t>
        </is>
      </c>
      <c r="B30" s="13" t="n">
        <v>0.25</v>
      </c>
      <c r="C30" s="14" t="inlineStr">
        <is>
          <t>91〜</t>
        </is>
      </c>
      <c r="D30" s="14" t="n">
        <v>90</v>
      </c>
      <c r="E30" s="14" t="n">
        <v>82</v>
      </c>
      <c r="F30" s="14" t="n">
        <v>74</v>
      </c>
      <c r="G30" s="14" t="n">
        <v>66</v>
      </c>
      <c r="H30" s="14" t="n">
        <v>58</v>
      </c>
      <c r="I30" s="14" t="n">
        <v>50</v>
      </c>
      <c r="J30" s="14" t="n">
        <v>42</v>
      </c>
      <c r="K30" s="14" t="n">
        <v>34</v>
      </c>
      <c r="L30" s="14" t="n">
        <v>26</v>
      </c>
      <c r="M30" s="14" t="inlineStr">
        <is>
          <t>〜18</t>
        </is>
      </c>
      <c r="N30" s="15" t="inlineStr">
        <is>
          <t>件</t>
        </is>
      </c>
      <c r="O30" s="16" t="n"/>
      <c r="P30" s="16" t="n"/>
      <c r="Q30" s="17">
        <f>IF(OR(P30="",NOT(ISNUMBER(P30))),"—",B30*P30/100)</f>
        <v/>
      </c>
    </row>
    <row r="31" ht="30" customHeight="1">
      <c r="A31" s="12" t="inlineStr">
        <is>
          <t>顧客満足度向上（課）</t>
        </is>
      </c>
      <c r="B31" s="13" t="n">
        <v>0.1</v>
      </c>
      <c r="C31" s="14" t="inlineStr">
        <is>
          <t>4.75未満</t>
        </is>
      </c>
      <c r="D31" s="14" t="inlineStr">
        <is>
          <t>—</t>
        </is>
      </c>
      <c r="E31" s="14" t="n">
        <v>4.75</v>
      </c>
      <c r="F31" s="14" t="inlineStr">
        <is>
          <t>—</t>
        </is>
      </c>
      <c r="G31" s="14" t="n">
        <v>4.8</v>
      </c>
      <c r="H31" s="14" t="inlineStr">
        <is>
          <t>—</t>
        </is>
      </c>
      <c r="I31" s="14" t="n">
        <v>4.85</v>
      </c>
      <c r="J31" s="14" t="inlineStr">
        <is>
          <t>+口コミ15</t>
        </is>
      </c>
      <c r="K31" s="14" t="n">
        <v>20</v>
      </c>
      <c r="L31" s="14" t="n">
        <v>25</v>
      </c>
      <c r="M31" s="14" t="n">
        <v>30</v>
      </c>
      <c r="N31" s="15" t="inlineStr">
        <is>
          <t>点/件</t>
        </is>
      </c>
      <c r="O31" s="16" t="n"/>
      <c r="P31" s="16" t="n"/>
      <c r="Q31" s="17">
        <f>IF(OR(P31="",NOT(ISNUMBER(P31))),"—",B31*P31/100)</f>
        <v/>
      </c>
    </row>
    <row r="32" ht="30" customHeight="1">
      <c r="A32" s="12" t="inlineStr">
        <is>
          <t>アンケート回収率UP（課）</t>
        </is>
      </c>
      <c r="B32" s="13" t="n">
        <v>0.1</v>
      </c>
      <c r="C32" s="14" t="inlineStr">
        <is>
          <t>10未満</t>
        </is>
      </c>
      <c r="D32" s="14" t="inlineStr">
        <is>
          <t>—</t>
        </is>
      </c>
      <c r="E32" s="14" t="n">
        <v>10</v>
      </c>
      <c r="F32" s="14" t="n">
        <v>15</v>
      </c>
      <c r="G32" s="14" t="n">
        <v>20</v>
      </c>
      <c r="H32" s="14" t="n">
        <v>25</v>
      </c>
      <c r="I32" s="14" t="n">
        <v>30</v>
      </c>
      <c r="J32" s="14" t="n">
        <v>35</v>
      </c>
      <c r="K32" s="14" t="n">
        <v>40</v>
      </c>
      <c r="L32" s="14" t="n">
        <v>45</v>
      </c>
      <c r="M32" s="14" t="inlineStr">
        <is>
          <t>50〜</t>
        </is>
      </c>
      <c r="N32" s="15" t="inlineStr">
        <is>
          <t>%</t>
        </is>
      </c>
      <c r="O32" s="16" t="n"/>
      <c r="P32" s="16" t="n"/>
      <c r="Q32" s="17">
        <f>IF(OR(P32="",NOT(ISNUMBER(P32))),"—",B32*P32/100)</f>
        <v/>
      </c>
    </row>
    <row r="33" ht="30" customHeight="1">
      <c r="A33" s="12" t="inlineStr">
        <is>
          <t>原状回復の対応（課）</t>
        </is>
      </c>
      <c r="B33" s="13" t="n">
        <v>0.2</v>
      </c>
      <c r="C33" s="14" t="inlineStr">
        <is>
          <t>7〜</t>
        </is>
      </c>
      <c r="D33" s="14" t="n">
        <v>6</v>
      </c>
      <c r="E33" s="14" t="n">
        <v>5</v>
      </c>
      <c r="F33" s="14" t="n">
        <v>4</v>
      </c>
      <c r="G33" s="14" t="n">
        <v>3</v>
      </c>
      <c r="H33" s="14" t="n">
        <v>2</v>
      </c>
      <c r="I33" s="14" t="n">
        <v>1</v>
      </c>
      <c r="J33" s="14" t="inlineStr">
        <is>
          <t>60点+3件</t>
        </is>
      </c>
      <c r="K33" s="14" t="inlineStr">
        <is>
          <t>+5件</t>
        </is>
      </c>
      <c r="L33" s="14" t="inlineStr">
        <is>
          <t>+7件</t>
        </is>
      </c>
      <c r="M33" s="14" t="inlineStr">
        <is>
          <t>+9件</t>
        </is>
      </c>
      <c r="N33" s="15" t="inlineStr">
        <is>
          <t>件</t>
        </is>
      </c>
      <c r="O33" s="16" t="n"/>
      <c r="P33" s="16" t="n"/>
      <c r="Q33" s="17">
        <f>IF(OR(P33="",NOT(ISNUMBER(P33))),"—",B33*P33/100)</f>
        <v/>
      </c>
    </row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2" t="inlineStr">
        <is>
          <t>売上目標達成（全社）</t>
        </is>
      </c>
      <c r="B41" s="13" t="n">
        <v>0.35</v>
      </c>
      <c r="C41" s="14" t="inlineStr">
        <is>
          <t>75未満</t>
        </is>
      </c>
      <c r="D41" s="14" t="n">
        <v>75</v>
      </c>
      <c r="E41" s="14" t="n">
        <v>80</v>
      </c>
      <c r="F41" s="14" t="n">
        <v>85</v>
      </c>
      <c r="G41" s="14" t="n">
        <v>90</v>
      </c>
      <c r="H41" s="14" t="n">
        <v>95</v>
      </c>
      <c r="I41" s="14" t="n">
        <v>100</v>
      </c>
      <c r="J41" s="14" t="n">
        <v>105</v>
      </c>
      <c r="K41" s="14" t="n">
        <v>110</v>
      </c>
      <c r="L41" s="14" t="n">
        <v>115</v>
      </c>
      <c r="M41" s="14" t="inlineStr">
        <is>
          <t>120〜</t>
        </is>
      </c>
      <c r="N41" s="15" t="inlineStr">
        <is>
          <t>%</t>
        </is>
      </c>
      <c r="O41" s="16" t="n"/>
      <c r="P41" s="16" t="n"/>
      <c r="Q41" s="17">
        <f>IF(OR(P41="",NOT(ISNUMBER(P41))),"—",B41*P41/100)</f>
        <v/>
      </c>
    </row>
    <row r="42" ht="30" customHeight="1">
      <c r="A42" s="12" t="inlineStr">
        <is>
          <t>お困りごと残件数削減（課）</t>
        </is>
      </c>
      <c r="B42" s="13" t="n">
        <v>0.25</v>
      </c>
      <c r="C42" s="14" t="inlineStr">
        <is>
          <t>91〜</t>
        </is>
      </c>
      <c r="D42" s="14" t="n">
        <v>90</v>
      </c>
      <c r="E42" s="14" t="n">
        <v>82</v>
      </c>
      <c r="F42" s="14" t="n">
        <v>74</v>
      </c>
      <c r="G42" s="14" t="n">
        <v>66</v>
      </c>
      <c r="H42" s="14" t="n">
        <v>58</v>
      </c>
      <c r="I42" s="14" t="n">
        <v>50</v>
      </c>
      <c r="J42" s="14" t="n">
        <v>42</v>
      </c>
      <c r="K42" s="14" t="n">
        <v>34</v>
      </c>
      <c r="L42" s="14" t="n">
        <v>26</v>
      </c>
      <c r="M42" s="14" t="inlineStr">
        <is>
          <t>〜18</t>
        </is>
      </c>
      <c r="N42" s="15" t="inlineStr">
        <is>
          <t>件</t>
        </is>
      </c>
      <c r="O42" s="16" t="n"/>
      <c r="P42" s="16" t="n"/>
      <c r="Q42" s="17">
        <f>IF(OR(P42="",NOT(ISNUMBER(P42))),"—",B42*P42/100)</f>
        <v/>
      </c>
    </row>
    <row r="43" ht="30" customHeight="1">
      <c r="A43" s="12" t="inlineStr">
        <is>
          <t>顧客満足度向上（課）</t>
        </is>
      </c>
      <c r="B43" s="13" t="n">
        <v>0.1</v>
      </c>
      <c r="C43" s="14" t="inlineStr">
        <is>
          <t>4.75未満</t>
        </is>
      </c>
      <c r="D43" s="14" t="inlineStr">
        <is>
          <t>—</t>
        </is>
      </c>
      <c r="E43" s="14" t="n">
        <v>4.75</v>
      </c>
      <c r="F43" s="14" t="inlineStr">
        <is>
          <t>—</t>
        </is>
      </c>
      <c r="G43" s="14" t="n">
        <v>4.8</v>
      </c>
      <c r="H43" s="14" t="inlineStr">
        <is>
          <t>—</t>
        </is>
      </c>
      <c r="I43" s="14" t="n">
        <v>4.85</v>
      </c>
      <c r="J43" s="14" t="inlineStr">
        <is>
          <t>+口コミ15</t>
        </is>
      </c>
      <c r="K43" s="14" t="n">
        <v>20</v>
      </c>
      <c r="L43" s="14" t="n">
        <v>25</v>
      </c>
      <c r="M43" s="14" t="n">
        <v>30</v>
      </c>
      <c r="N43" s="15" t="inlineStr">
        <is>
          <t>点/件</t>
        </is>
      </c>
      <c r="O43" s="16" t="n"/>
      <c r="P43" s="16" t="n"/>
      <c r="Q43" s="17">
        <f>IF(OR(P43="",NOT(ISNUMBER(P43))),"—",B43*P43/100)</f>
        <v/>
      </c>
    </row>
    <row r="44" ht="30" customHeight="1">
      <c r="A44" s="12" t="inlineStr">
        <is>
          <t>アンケート回収率UP（課）</t>
        </is>
      </c>
      <c r="B44" s="13" t="n">
        <v>0.1</v>
      </c>
      <c r="C44" s="14" t="inlineStr">
        <is>
          <t>10未満</t>
        </is>
      </c>
      <c r="D44" s="14" t="inlineStr">
        <is>
          <t>—</t>
        </is>
      </c>
      <c r="E44" s="14" t="n">
        <v>10</v>
      </c>
      <c r="F44" s="14" t="n">
        <v>15</v>
      </c>
      <c r="G44" s="14" t="n">
        <v>20</v>
      </c>
      <c r="H44" s="14" t="n">
        <v>25</v>
      </c>
      <c r="I44" s="14" t="n">
        <v>30</v>
      </c>
      <c r="J44" s="14" t="n">
        <v>35</v>
      </c>
      <c r="K44" s="14" t="n">
        <v>40</v>
      </c>
      <c r="L44" s="14" t="n">
        <v>45</v>
      </c>
      <c r="M44" s="14" t="inlineStr">
        <is>
          <t>50〜</t>
        </is>
      </c>
      <c r="N44" s="15" t="inlineStr">
        <is>
          <t>%</t>
        </is>
      </c>
      <c r="O44" s="16" t="n"/>
      <c r="P44" s="16" t="n"/>
      <c r="Q44" s="17">
        <f>IF(OR(P44="",NOT(ISNUMBER(P44))),"—",B44*P44/100)</f>
        <v/>
      </c>
    </row>
    <row r="45" ht="30" customHeight="1">
      <c r="A45" s="12" t="inlineStr">
        <is>
          <t>原状回復の対応（課）</t>
        </is>
      </c>
      <c r="B45" s="13" t="n">
        <v>0.2</v>
      </c>
      <c r="C45" s="14" t="inlineStr">
        <is>
          <t>7〜</t>
        </is>
      </c>
      <c r="D45" s="14" t="n">
        <v>6</v>
      </c>
      <c r="E45" s="14" t="n">
        <v>5</v>
      </c>
      <c r="F45" s="14" t="n">
        <v>4</v>
      </c>
      <c r="G45" s="14" t="n">
        <v>3</v>
      </c>
      <c r="H45" s="14" t="n">
        <v>2</v>
      </c>
      <c r="I45" s="14" t="n">
        <v>1</v>
      </c>
      <c r="J45" s="14" t="inlineStr">
        <is>
          <t>60点+3件</t>
        </is>
      </c>
      <c r="K45" s="14" t="inlineStr">
        <is>
          <t>+5件</t>
        </is>
      </c>
      <c r="L45" s="14" t="inlineStr">
        <is>
          <t>+7件</t>
        </is>
      </c>
      <c r="M45" s="14" t="inlineStr">
        <is>
          <t>+9件</t>
        </is>
      </c>
      <c r="N45" s="15" t="inlineStr">
        <is>
          <t>件</t>
        </is>
      </c>
      <c r="O45" s="16" t="n"/>
      <c r="P45" s="16" t="n"/>
      <c r="Q45" s="17">
        <f>IF(OR(P45="",NOT(ISNUMBER(P45))),"—",B45*P45/100)</f>
        <v/>
      </c>
    </row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カスタマー 新人 CS新人①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カスタマー 新人 CS新人②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経営企画 課長 野方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2" t="inlineStr">
        <is>
          <t>売上目標達成（全社）</t>
        </is>
      </c>
      <c r="B5" s="13" t="n">
        <v>0.4</v>
      </c>
      <c r="C5" s="14" t="inlineStr">
        <is>
          <t>75未満</t>
        </is>
      </c>
      <c r="D5" s="14" t="n">
        <v>75</v>
      </c>
      <c r="E5" s="14" t="n">
        <v>80</v>
      </c>
      <c r="F5" s="14" t="n">
        <v>85</v>
      </c>
      <c r="G5" s="14" t="n">
        <v>90</v>
      </c>
      <c r="H5" s="14" t="n">
        <v>95</v>
      </c>
      <c r="I5" s="14" t="n">
        <v>100</v>
      </c>
      <c r="J5" s="14" t="n">
        <v>105</v>
      </c>
      <c r="K5" s="14" t="n">
        <v>110</v>
      </c>
      <c r="L5" s="14" t="n">
        <v>115</v>
      </c>
      <c r="M5" s="14" t="inlineStr">
        <is>
          <t>120〜</t>
        </is>
      </c>
      <c r="N5" s="15" t="inlineStr">
        <is>
          <t>%</t>
        </is>
      </c>
      <c r="O5" s="16" t="n"/>
      <c r="P5" s="16" t="n"/>
      <c r="Q5" s="17">
        <f>IF(OR(P5="",NOT(ISNUMBER(P5))),"—",B5*P5/100)</f>
        <v/>
      </c>
    </row>
    <row r="6" ht="30" customHeight="1">
      <c r="A6" s="12" t="inlineStr">
        <is>
          <t>民泊売上目標達成（課）</t>
        </is>
      </c>
      <c r="B6" s="13" t="n">
        <v>0.4</v>
      </c>
      <c r="C6" s="14" t="inlineStr">
        <is>
          <t>75未満</t>
        </is>
      </c>
      <c r="D6" s="14" t="n">
        <v>75</v>
      </c>
      <c r="E6" s="14" t="n">
        <v>80</v>
      </c>
      <c r="F6" s="14" t="n">
        <v>85</v>
      </c>
      <c r="G6" s="14" t="n">
        <v>90</v>
      </c>
      <c r="H6" s="14" t="n">
        <v>95</v>
      </c>
      <c r="I6" s="14" t="n">
        <v>100</v>
      </c>
      <c r="J6" s="14" t="n">
        <v>105</v>
      </c>
      <c r="K6" s="14" t="n">
        <v>110</v>
      </c>
      <c r="L6" s="14" t="n">
        <v>115</v>
      </c>
      <c r="M6" s="14" t="inlineStr">
        <is>
          <t>120〜</t>
        </is>
      </c>
      <c r="N6" s="15" t="inlineStr">
        <is>
          <t>%</t>
        </is>
      </c>
      <c r="O6" s="16" t="n"/>
      <c r="P6" s="16" t="n"/>
      <c r="Q6" s="17">
        <f>IF(OR(P6="",NOT(ISNUMBER(P6))),"—",B6*P6/100)</f>
        <v/>
      </c>
    </row>
    <row r="7" ht="30" customHeight="1">
      <c r="A7" s="12" t="inlineStr">
        <is>
          <t>民泊新規施策実行（課）</t>
        </is>
      </c>
      <c r="B7" s="13" t="n">
        <v>0.2</v>
      </c>
      <c r="C7" s="14" t="n">
        <v>0</v>
      </c>
      <c r="D7" s="14" t="n">
        <v>10</v>
      </c>
      <c r="E7" s="14" t="n">
        <v>20</v>
      </c>
      <c r="F7" s="14" t="n">
        <v>30</v>
      </c>
      <c r="G7" s="14" t="n">
        <v>40</v>
      </c>
      <c r="H7" s="14" t="n">
        <v>50</v>
      </c>
      <c r="I7" s="14" t="n">
        <v>60</v>
      </c>
      <c r="J7" s="14" t="n">
        <v>70</v>
      </c>
      <c r="K7" s="14" t="n">
        <v>80</v>
      </c>
      <c r="L7" s="14" t="n">
        <v>90</v>
      </c>
      <c r="M7" s="14" t="n">
        <v>100</v>
      </c>
      <c r="N7" s="15" t="inlineStr">
        <is>
          <t>点</t>
        </is>
      </c>
      <c r="O7" s="16" t="n"/>
      <c r="P7" s="16" t="n"/>
      <c r="Q7" s="17">
        <f>IF(OR(P7="",NOT(ISNUMBER(P7))),"—",B7*P7/100)</f>
        <v/>
      </c>
    </row>
    <row r="8" ht="20" customHeight="1"/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2" t="inlineStr">
        <is>
          <t>売上目標達成（全社）</t>
        </is>
      </c>
      <c r="B17" s="13" t="n">
        <v>0.4</v>
      </c>
      <c r="C17" s="14" t="inlineStr">
        <is>
          <t>75未満</t>
        </is>
      </c>
      <c r="D17" s="14" t="n">
        <v>75</v>
      </c>
      <c r="E17" s="14" t="n">
        <v>80</v>
      </c>
      <c r="F17" s="14" t="n">
        <v>85</v>
      </c>
      <c r="G17" s="14" t="n">
        <v>90</v>
      </c>
      <c r="H17" s="14" t="n">
        <v>95</v>
      </c>
      <c r="I17" s="14" t="n">
        <v>100</v>
      </c>
      <c r="J17" s="14" t="n">
        <v>105</v>
      </c>
      <c r="K17" s="14" t="n">
        <v>110</v>
      </c>
      <c r="L17" s="14" t="n">
        <v>115</v>
      </c>
      <c r="M17" s="14" t="inlineStr">
        <is>
          <t>120〜</t>
        </is>
      </c>
      <c r="N17" s="15" t="inlineStr">
        <is>
          <t>%</t>
        </is>
      </c>
      <c r="O17" s="16" t="n"/>
      <c r="P17" s="16" t="n"/>
      <c r="Q17" s="17">
        <f>IF(OR(P17="",NOT(ISNUMBER(P17))),"—",B17*P17/100)</f>
        <v/>
      </c>
    </row>
    <row r="18" ht="30" customHeight="1">
      <c r="A18" s="12" t="inlineStr">
        <is>
          <t>民泊売上目標達成（課）</t>
        </is>
      </c>
      <c r="B18" s="13" t="n">
        <v>0.4</v>
      </c>
      <c r="C18" s="14" t="inlineStr">
        <is>
          <t>75未満</t>
        </is>
      </c>
      <c r="D18" s="14" t="n">
        <v>75</v>
      </c>
      <c r="E18" s="14" t="n">
        <v>80</v>
      </c>
      <c r="F18" s="14" t="n">
        <v>85</v>
      </c>
      <c r="G18" s="14" t="n">
        <v>90</v>
      </c>
      <c r="H18" s="14" t="n">
        <v>95</v>
      </c>
      <c r="I18" s="14" t="n">
        <v>100</v>
      </c>
      <c r="J18" s="14" t="n">
        <v>105</v>
      </c>
      <c r="K18" s="14" t="n">
        <v>110</v>
      </c>
      <c r="L18" s="14" t="n">
        <v>115</v>
      </c>
      <c r="M18" s="14" t="inlineStr">
        <is>
          <t>120〜</t>
        </is>
      </c>
      <c r="N18" s="15" t="inlineStr">
        <is>
          <t>%</t>
        </is>
      </c>
      <c r="O18" s="16" t="n"/>
      <c r="P18" s="16" t="n"/>
      <c r="Q18" s="17">
        <f>IF(OR(P18="",NOT(ISNUMBER(P18))),"—",B18*P18/100)</f>
        <v/>
      </c>
    </row>
    <row r="19" ht="30" customHeight="1">
      <c r="A19" s="12" t="inlineStr">
        <is>
          <t>民泊新規施策実行（課）</t>
        </is>
      </c>
      <c r="B19" s="13" t="n">
        <v>0.2</v>
      </c>
      <c r="C19" s="14" t="n">
        <v>0</v>
      </c>
      <c r="D19" s="14" t="n">
        <v>10</v>
      </c>
      <c r="E19" s="14" t="n">
        <v>20</v>
      </c>
      <c r="F19" s="14" t="n">
        <v>30</v>
      </c>
      <c r="G19" s="14" t="n">
        <v>40</v>
      </c>
      <c r="H19" s="14" t="n">
        <v>50</v>
      </c>
      <c r="I19" s="14" t="n">
        <v>60</v>
      </c>
      <c r="J19" s="14" t="n">
        <v>70</v>
      </c>
      <c r="K19" s="14" t="n">
        <v>80</v>
      </c>
      <c r="L19" s="14" t="n">
        <v>90</v>
      </c>
      <c r="M19" s="14" t="n">
        <v>100</v>
      </c>
      <c r="N19" s="15" t="inlineStr">
        <is>
          <t>点</t>
        </is>
      </c>
      <c r="O19" s="16" t="n"/>
      <c r="P19" s="16" t="n"/>
      <c r="Q19" s="17">
        <f>IF(OR(P19="",NOT(ISNUMBER(P19))),"—",B19*P19/100)</f>
        <v/>
      </c>
    </row>
    <row r="20" ht="20" customHeight="1"/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2" t="inlineStr">
        <is>
          <t>売上目標達成（全社）</t>
        </is>
      </c>
      <c r="B29" s="13" t="n">
        <v>0.4</v>
      </c>
      <c r="C29" s="14" t="inlineStr">
        <is>
          <t>75未満</t>
        </is>
      </c>
      <c r="D29" s="14" t="n">
        <v>75</v>
      </c>
      <c r="E29" s="14" t="n">
        <v>80</v>
      </c>
      <c r="F29" s="14" t="n">
        <v>85</v>
      </c>
      <c r="G29" s="14" t="n">
        <v>90</v>
      </c>
      <c r="H29" s="14" t="n">
        <v>95</v>
      </c>
      <c r="I29" s="14" t="n">
        <v>100</v>
      </c>
      <c r="J29" s="14" t="n">
        <v>105</v>
      </c>
      <c r="K29" s="14" t="n">
        <v>110</v>
      </c>
      <c r="L29" s="14" t="n">
        <v>115</v>
      </c>
      <c r="M29" s="14" t="inlineStr">
        <is>
          <t>120〜</t>
        </is>
      </c>
      <c r="N29" s="15" t="inlineStr">
        <is>
          <t>%</t>
        </is>
      </c>
      <c r="O29" s="16" t="n"/>
      <c r="P29" s="16" t="n"/>
      <c r="Q29" s="17">
        <f>IF(OR(P29="",NOT(ISNUMBER(P29))),"—",B29*P29/100)</f>
        <v/>
      </c>
    </row>
    <row r="30" ht="30" customHeight="1">
      <c r="A30" s="12" t="inlineStr">
        <is>
          <t>民泊売上目標達成（課）</t>
        </is>
      </c>
      <c r="B30" s="13" t="n">
        <v>0.4</v>
      </c>
      <c r="C30" s="14" t="inlineStr">
        <is>
          <t>75未満</t>
        </is>
      </c>
      <c r="D30" s="14" t="n">
        <v>75</v>
      </c>
      <c r="E30" s="14" t="n">
        <v>80</v>
      </c>
      <c r="F30" s="14" t="n">
        <v>85</v>
      </c>
      <c r="G30" s="14" t="n">
        <v>90</v>
      </c>
      <c r="H30" s="14" t="n">
        <v>95</v>
      </c>
      <c r="I30" s="14" t="n">
        <v>100</v>
      </c>
      <c r="J30" s="14" t="n">
        <v>105</v>
      </c>
      <c r="K30" s="14" t="n">
        <v>110</v>
      </c>
      <c r="L30" s="14" t="n">
        <v>115</v>
      </c>
      <c r="M30" s="14" t="inlineStr">
        <is>
          <t>120〜</t>
        </is>
      </c>
      <c r="N30" s="15" t="inlineStr">
        <is>
          <t>%</t>
        </is>
      </c>
      <c r="O30" s="16" t="n"/>
      <c r="P30" s="16" t="n"/>
      <c r="Q30" s="17">
        <f>IF(OR(P30="",NOT(ISNUMBER(P30))),"—",B30*P30/100)</f>
        <v/>
      </c>
    </row>
    <row r="31" ht="30" customHeight="1">
      <c r="A31" s="12" t="inlineStr">
        <is>
          <t>民泊新規施策実行（課）</t>
        </is>
      </c>
      <c r="B31" s="13" t="n">
        <v>0.2</v>
      </c>
      <c r="C31" s="14" t="n">
        <v>0</v>
      </c>
      <c r="D31" s="14" t="n">
        <v>10</v>
      </c>
      <c r="E31" s="14" t="n">
        <v>20</v>
      </c>
      <c r="F31" s="14" t="n">
        <v>30</v>
      </c>
      <c r="G31" s="14" t="n">
        <v>40</v>
      </c>
      <c r="H31" s="14" t="n">
        <v>50</v>
      </c>
      <c r="I31" s="14" t="n">
        <v>60</v>
      </c>
      <c r="J31" s="14" t="n">
        <v>70</v>
      </c>
      <c r="K31" s="14" t="n">
        <v>80</v>
      </c>
      <c r="L31" s="14" t="n">
        <v>90</v>
      </c>
      <c r="M31" s="14" t="n">
        <v>100</v>
      </c>
      <c r="N31" s="15" t="inlineStr">
        <is>
          <t>点</t>
        </is>
      </c>
      <c r="O31" s="16" t="n"/>
      <c r="P31" s="16" t="n"/>
      <c r="Q31" s="17">
        <f>IF(OR(P31="",NOT(ISNUMBER(P31))),"—",B31*P31/100)</f>
        <v/>
      </c>
    </row>
    <row r="32" ht="20" customHeight="1"/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2" t="inlineStr">
        <is>
          <t>売上目標達成（全社）</t>
        </is>
      </c>
      <c r="B41" s="13" t="n">
        <v>0.4</v>
      </c>
      <c r="C41" s="14" t="inlineStr">
        <is>
          <t>75未満</t>
        </is>
      </c>
      <c r="D41" s="14" t="n">
        <v>75</v>
      </c>
      <c r="E41" s="14" t="n">
        <v>80</v>
      </c>
      <c r="F41" s="14" t="n">
        <v>85</v>
      </c>
      <c r="G41" s="14" t="n">
        <v>90</v>
      </c>
      <c r="H41" s="14" t="n">
        <v>95</v>
      </c>
      <c r="I41" s="14" t="n">
        <v>100</v>
      </c>
      <c r="J41" s="14" t="n">
        <v>105</v>
      </c>
      <c r="K41" s="14" t="n">
        <v>110</v>
      </c>
      <c r="L41" s="14" t="n">
        <v>115</v>
      </c>
      <c r="M41" s="14" t="inlineStr">
        <is>
          <t>120〜</t>
        </is>
      </c>
      <c r="N41" s="15" t="inlineStr">
        <is>
          <t>%</t>
        </is>
      </c>
      <c r="O41" s="16" t="n"/>
      <c r="P41" s="16" t="n"/>
      <c r="Q41" s="17">
        <f>IF(OR(P41="",NOT(ISNUMBER(P41))),"—",B41*P41/100)</f>
        <v/>
      </c>
    </row>
    <row r="42" ht="30" customHeight="1">
      <c r="A42" s="12" t="inlineStr">
        <is>
          <t>民泊売上目標達成（課）</t>
        </is>
      </c>
      <c r="B42" s="13" t="n">
        <v>0.4</v>
      </c>
      <c r="C42" s="14" t="inlineStr">
        <is>
          <t>75未満</t>
        </is>
      </c>
      <c r="D42" s="14" t="n">
        <v>75</v>
      </c>
      <c r="E42" s="14" t="n">
        <v>80</v>
      </c>
      <c r="F42" s="14" t="n">
        <v>85</v>
      </c>
      <c r="G42" s="14" t="n">
        <v>90</v>
      </c>
      <c r="H42" s="14" t="n">
        <v>95</v>
      </c>
      <c r="I42" s="14" t="n">
        <v>100</v>
      </c>
      <c r="J42" s="14" t="n">
        <v>105</v>
      </c>
      <c r="K42" s="14" t="n">
        <v>110</v>
      </c>
      <c r="L42" s="14" t="n">
        <v>115</v>
      </c>
      <c r="M42" s="14" t="inlineStr">
        <is>
          <t>120〜</t>
        </is>
      </c>
      <c r="N42" s="15" t="inlineStr">
        <is>
          <t>%</t>
        </is>
      </c>
      <c r="O42" s="16" t="n"/>
      <c r="P42" s="16" t="n"/>
      <c r="Q42" s="17">
        <f>IF(OR(P42="",NOT(ISNUMBER(P42))),"—",B42*P42/100)</f>
        <v/>
      </c>
    </row>
    <row r="43" ht="30" customHeight="1">
      <c r="A43" s="12" t="inlineStr">
        <is>
          <t>民泊新規施策実行（課）</t>
        </is>
      </c>
      <c r="B43" s="13" t="n">
        <v>0.2</v>
      </c>
      <c r="C43" s="14" t="n">
        <v>0</v>
      </c>
      <c r="D43" s="14" t="n">
        <v>10</v>
      </c>
      <c r="E43" s="14" t="n">
        <v>20</v>
      </c>
      <c r="F43" s="14" t="n">
        <v>30</v>
      </c>
      <c r="G43" s="14" t="n">
        <v>40</v>
      </c>
      <c r="H43" s="14" t="n">
        <v>50</v>
      </c>
      <c r="I43" s="14" t="n">
        <v>60</v>
      </c>
      <c r="J43" s="14" t="n">
        <v>70</v>
      </c>
      <c r="K43" s="14" t="n">
        <v>80</v>
      </c>
      <c r="L43" s="14" t="n">
        <v>90</v>
      </c>
      <c r="M43" s="14" t="n">
        <v>100</v>
      </c>
      <c r="N43" s="15" t="inlineStr">
        <is>
          <t>点</t>
        </is>
      </c>
      <c r="O43" s="16" t="n"/>
      <c r="P43" s="16" t="n"/>
      <c r="Q43" s="17">
        <f>IF(OR(P43="",NOT(ISNUMBER(P43))),"—",B43*P43/100)</f>
        <v/>
      </c>
    </row>
    <row r="44" ht="20" customHeight="1"/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経営企画 新人 KK新人①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経営企画 新人 KK新人②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民泊課 一般 鹿山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民泊課 一般 虞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民泊課 新人 MB新人①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民泊課 新人 MB新人②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総務管理 課長 鬼崎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2" t="inlineStr">
        <is>
          <t>売上目標達成（全社）</t>
        </is>
      </c>
      <c r="B5" s="13" t="n">
        <v>0.2</v>
      </c>
      <c r="C5" s="14" t="inlineStr">
        <is>
          <t>75未満</t>
        </is>
      </c>
      <c r="D5" s="14" t="n">
        <v>75</v>
      </c>
      <c r="E5" s="14" t="n">
        <v>80</v>
      </c>
      <c r="F5" s="14" t="n">
        <v>85</v>
      </c>
      <c r="G5" s="14" t="n">
        <v>90</v>
      </c>
      <c r="H5" s="14" t="n">
        <v>95</v>
      </c>
      <c r="I5" s="14" t="n">
        <v>100</v>
      </c>
      <c r="J5" s="14" t="n">
        <v>105</v>
      </c>
      <c r="K5" s="14" t="n">
        <v>110</v>
      </c>
      <c r="L5" s="14" t="n">
        <v>115</v>
      </c>
      <c r="M5" s="14" t="inlineStr">
        <is>
          <t>120〜</t>
        </is>
      </c>
      <c r="N5" s="15" t="inlineStr">
        <is>
          <t>%</t>
        </is>
      </c>
      <c r="O5" s="16" t="n"/>
      <c r="P5" s="16" t="n"/>
      <c r="Q5" s="17">
        <f>IF(OR(P5="",NOT(ISNUMBER(P5))),"—",B5*P5/100)</f>
        <v/>
      </c>
    </row>
    <row r="6" ht="30" customHeight="1">
      <c r="A6" s="12" t="inlineStr">
        <is>
          <t>販管費削減目標</t>
        </is>
      </c>
      <c r="B6" s="13" t="n">
        <v>0.4</v>
      </c>
      <c r="C6" s="14" t="inlineStr">
        <is>
          <t>未達</t>
        </is>
      </c>
      <c r="D6" s="14" t="inlineStr">
        <is>
          <t>—</t>
        </is>
      </c>
      <c r="E6" s="14" t="inlineStr">
        <is>
          <t>—</t>
        </is>
      </c>
      <c r="F6" s="14" t="inlineStr">
        <is>
          <t>—</t>
        </is>
      </c>
      <c r="G6" s="14" t="inlineStr">
        <is>
          <t>—</t>
        </is>
      </c>
      <c r="H6" s="14" t="inlineStr">
        <is>
          <t>—</t>
        </is>
      </c>
      <c r="I6" s="14" t="inlineStr">
        <is>
          <t>月10万</t>
        </is>
      </c>
      <c r="J6" s="14" t="inlineStr">
        <is>
          <t>月20万</t>
        </is>
      </c>
      <c r="K6" s="14" t="inlineStr">
        <is>
          <t>月30万</t>
        </is>
      </c>
      <c r="L6" s="14" t="inlineStr">
        <is>
          <t>月40万</t>
        </is>
      </c>
      <c r="M6" s="14" t="inlineStr">
        <is>
          <t>月50万〜</t>
        </is>
      </c>
      <c r="N6" s="15" t="inlineStr">
        <is>
          <t>万円</t>
        </is>
      </c>
      <c r="O6" s="16" t="n"/>
      <c r="P6" s="16" t="n"/>
      <c r="Q6" s="17">
        <f>IF(OR(P6="",NOT(ISNUMBER(P6))),"—",B6*P6/100)</f>
        <v/>
      </c>
    </row>
    <row r="7" ht="30" customHeight="1">
      <c r="A7" s="12" t="inlineStr">
        <is>
          <t>人事採用目標</t>
        </is>
      </c>
      <c r="B7" s="13" t="n">
        <v>0.1</v>
      </c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5" t="inlineStr">
        <is>
          <t>人</t>
        </is>
      </c>
      <c r="O7" s="16" t="n"/>
      <c r="P7" s="16" t="n"/>
      <c r="Q7" s="17">
        <f>IF(OR(P7="",NOT(ISNUMBER(P7))),"—",B7*P7/100)</f>
        <v/>
      </c>
    </row>
    <row r="8" ht="30" customHeight="1">
      <c r="A8" s="12" t="inlineStr">
        <is>
          <t>その他課題</t>
        </is>
      </c>
      <c r="B8" s="13" t="n">
        <v>0.3</v>
      </c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  <c r="M8" s="14" t="inlineStr"/>
      <c r="N8" s="15" t="inlineStr">
        <is>
          <t>—</t>
        </is>
      </c>
      <c r="O8" s="16" t="n"/>
      <c r="P8" s="16" t="n"/>
      <c r="Q8" s="17">
        <f>IF(OR(P8="",NOT(ISNUMBER(P8))),"—",B8*P8/100)</f>
        <v/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2" t="inlineStr">
        <is>
          <t>売上目標達成（全社）</t>
        </is>
      </c>
      <c r="B17" s="13" t="n">
        <v>0.2</v>
      </c>
      <c r="C17" s="14" t="inlineStr">
        <is>
          <t>75未満</t>
        </is>
      </c>
      <c r="D17" s="14" t="n">
        <v>75</v>
      </c>
      <c r="E17" s="14" t="n">
        <v>80</v>
      </c>
      <c r="F17" s="14" t="n">
        <v>85</v>
      </c>
      <c r="G17" s="14" t="n">
        <v>90</v>
      </c>
      <c r="H17" s="14" t="n">
        <v>95</v>
      </c>
      <c r="I17" s="14" t="n">
        <v>100</v>
      </c>
      <c r="J17" s="14" t="n">
        <v>105</v>
      </c>
      <c r="K17" s="14" t="n">
        <v>110</v>
      </c>
      <c r="L17" s="14" t="n">
        <v>115</v>
      </c>
      <c r="M17" s="14" t="inlineStr">
        <is>
          <t>120〜</t>
        </is>
      </c>
      <c r="N17" s="15" t="inlineStr">
        <is>
          <t>%</t>
        </is>
      </c>
      <c r="O17" s="16" t="n"/>
      <c r="P17" s="16" t="n"/>
      <c r="Q17" s="17">
        <f>IF(OR(P17="",NOT(ISNUMBER(P17))),"—",B17*P17/100)</f>
        <v/>
      </c>
    </row>
    <row r="18" ht="30" customHeight="1">
      <c r="A18" s="12" t="inlineStr">
        <is>
          <t>販管費削減目標</t>
        </is>
      </c>
      <c r="B18" s="13" t="n">
        <v>0.4</v>
      </c>
      <c r="C18" s="14" t="inlineStr">
        <is>
          <t>未達</t>
        </is>
      </c>
      <c r="D18" s="14" t="inlineStr">
        <is>
          <t>—</t>
        </is>
      </c>
      <c r="E18" s="14" t="inlineStr">
        <is>
          <t>—</t>
        </is>
      </c>
      <c r="F18" s="14" t="inlineStr">
        <is>
          <t>—</t>
        </is>
      </c>
      <c r="G18" s="14" t="inlineStr">
        <is>
          <t>—</t>
        </is>
      </c>
      <c r="H18" s="14" t="inlineStr">
        <is>
          <t>—</t>
        </is>
      </c>
      <c r="I18" s="14" t="inlineStr">
        <is>
          <t>月10万</t>
        </is>
      </c>
      <c r="J18" s="14" t="inlineStr">
        <is>
          <t>月20万</t>
        </is>
      </c>
      <c r="K18" s="14" t="inlineStr">
        <is>
          <t>月30万</t>
        </is>
      </c>
      <c r="L18" s="14" t="inlineStr">
        <is>
          <t>月40万</t>
        </is>
      </c>
      <c r="M18" s="14" t="inlineStr">
        <is>
          <t>月50万〜</t>
        </is>
      </c>
      <c r="N18" s="15" t="inlineStr">
        <is>
          <t>万円</t>
        </is>
      </c>
      <c r="O18" s="16" t="n"/>
      <c r="P18" s="16" t="n"/>
      <c r="Q18" s="17">
        <f>IF(OR(P18="",NOT(ISNUMBER(P18))),"—",B18*P18/100)</f>
        <v/>
      </c>
    </row>
    <row r="19" ht="30" customHeight="1">
      <c r="A19" s="12" t="inlineStr">
        <is>
          <t>人事採用目標</t>
        </is>
      </c>
      <c r="B19" s="13" t="n">
        <v>0.1</v>
      </c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5" t="inlineStr">
        <is>
          <t>人</t>
        </is>
      </c>
      <c r="O19" s="16" t="n"/>
      <c r="P19" s="16" t="n"/>
      <c r="Q19" s="17">
        <f>IF(OR(P19="",NOT(ISNUMBER(P19))),"—",B19*P19/100)</f>
        <v/>
      </c>
    </row>
    <row r="20" ht="30" customHeight="1">
      <c r="A20" s="12" t="inlineStr">
        <is>
          <t>その他課題</t>
        </is>
      </c>
      <c r="B20" s="13" t="n">
        <v>0.3</v>
      </c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5" t="inlineStr">
        <is>
          <t>—</t>
        </is>
      </c>
      <c r="O20" s="16" t="n"/>
      <c r="P20" s="16" t="n"/>
      <c r="Q20" s="17">
        <f>IF(OR(P20="",NOT(ISNUMBER(P20))),"—",B20*P20/100)</f>
        <v/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2" t="inlineStr">
        <is>
          <t>売上目標達成（全社）</t>
        </is>
      </c>
      <c r="B29" s="13" t="n">
        <v>0.2</v>
      </c>
      <c r="C29" s="14" t="inlineStr">
        <is>
          <t>75未満</t>
        </is>
      </c>
      <c r="D29" s="14" t="n">
        <v>75</v>
      </c>
      <c r="E29" s="14" t="n">
        <v>80</v>
      </c>
      <c r="F29" s="14" t="n">
        <v>85</v>
      </c>
      <c r="G29" s="14" t="n">
        <v>90</v>
      </c>
      <c r="H29" s="14" t="n">
        <v>95</v>
      </c>
      <c r="I29" s="14" t="n">
        <v>100</v>
      </c>
      <c r="J29" s="14" t="n">
        <v>105</v>
      </c>
      <c r="K29" s="14" t="n">
        <v>110</v>
      </c>
      <c r="L29" s="14" t="n">
        <v>115</v>
      </c>
      <c r="M29" s="14" t="inlineStr">
        <is>
          <t>120〜</t>
        </is>
      </c>
      <c r="N29" s="15" t="inlineStr">
        <is>
          <t>%</t>
        </is>
      </c>
      <c r="O29" s="16" t="n"/>
      <c r="P29" s="16" t="n"/>
      <c r="Q29" s="17">
        <f>IF(OR(P29="",NOT(ISNUMBER(P29))),"—",B29*P29/100)</f>
        <v/>
      </c>
    </row>
    <row r="30" ht="30" customHeight="1">
      <c r="A30" s="12" t="inlineStr">
        <is>
          <t>販管費削減目標</t>
        </is>
      </c>
      <c r="B30" s="13" t="n">
        <v>0.4</v>
      </c>
      <c r="C30" s="14" t="inlineStr">
        <is>
          <t>未達</t>
        </is>
      </c>
      <c r="D30" s="14" t="inlineStr">
        <is>
          <t>—</t>
        </is>
      </c>
      <c r="E30" s="14" t="inlineStr">
        <is>
          <t>—</t>
        </is>
      </c>
      <c r="F30" s="14" t="inlineStr">
        <is>
          <t>—</t>
        </is>
      </c>
      <c r="G30" s="14" t="inlineStr">
        <is>
          <t>—</t>
        </is>
      </c>
      <c r="H30" s="14" t="inlineStr">
        <is>
          <t>—</t>
        </is>
      </c>
      <c r="I30" s="14" t="inlineStr">
        <is>
          <t>月10万</t>
        </is>
      </c>
      <c r="J30" s="14" t="inlineStr">
        <is>
          <t>月20万</t>
        </is>
      </c>
      <c r="K30" s="14" t="inlineStr">
        <is>
          <t>月30万</t>
        </is>
      </c>
      <c r="L30" s="14" t="inlineStr">
        <is>
          <t>月40万</t>
        </is>
      </c>
      <c r="M30" s="14" t="inlineStr">
        <is>
          <t>月50万〜</t>
        </is>
      </c>
      <c r="N30" s="15" t="inlineStr">
        <is>
          <t>万円</t>
        </is>
      </c>
      <c r="O30" s="16" t="n"/>
      <c r="P30" s="16" t="n"/>
      <c r="Q30" s="17">
        <f>IF(OR(P30="",NOT(ISNUMBER(P30))),"—",B30*P30/100)</f>
        <v/>
      </c>
    </row>
    <row r="31" ht="30" customHeight="1">
      <c r="A31" s="12" t="inlineStr">
        <is>
          <t>人事採用目標</t>
        </is>
      </c>
      <c r="B31" s="13" t="n">
        <v>0.1</v>
      </c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5" t="inlineStr">
        <is>
          <t>人</t>
        </is>
      </c>
      <c r="O31" s="16" t="n"/>
      <c r="P31" s="16" t="n"/>
      <c r="Q31" s="17">
        <f>IF(OR(P31="",NOT(ISNUMBER(P31))),"—",B31*P31/100)</f>
        <v/>
      </c>
    </row>
    <row r="32" ht="30" customHeight="1">
      <c r="A32" s="12" t="inlineStr">
        <is>
          <t>その他課題</t>
        </is>
      </c>
      <c r="B32" s="13" t="n">
        <v>0.3</v>
      </c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  <c r="M32" s="14" t="inlineStr"/>
      <c r="N32" s="15" t="inlineStr">
        <is>
          <t>—</t>
        </is>
      </c>
      <c r="O32" s="16" t="n"/>
      <c r="P32" s="16" t="n"/>
      <c r="Q32" s="17">
        <f>IF(OR(P32="",NOT(ISNUMBER(P32))),"—",B32*P32/100)</f>
        <v/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2" t="inlineStr">
        <is>
          <t>売上目標達成（全社）</t>
        </is>
      </c>
      <c r="B41" s="13" t="n">
        <v>0.2</v>
      </c>
      <c r="C41" s="14" t="inlineStr">
        <is>
          <t>75未満</t>
        </is>
      </c>
      <c r="D41" s="14" t="n">
        <v>75</v>
      </c>
      <c r="E41" s="14" t="n">
        <v>80</v>
      </c>
      <c r="F41" s="14" t="n">
        <v>85</v>
      </c>
      <c r="G41" s="14" t="n">
        <v>90</v>
      </c>
      <c r="H41" s="14" t="n">
        <v>95</v>
      </c>
      <c r="I41" s="14" t="n">
        <v>100</v>
      </c>
      <c r="J41" s="14" t="n">
        <v>105</v>
      </c>
      <c r="K41" s="14" t="n">
        <v>110</v>
      </c>
      <c r="L41" s="14" t="n">
        <v>115</v>
      </c>
      <c r="M41" s="14" t="inlineStr">
        <is>
          <t>120〜</t>
        </is>
      </c>
      <c r="N41" s="15" t="inlineStr">
        <is>
          <t>%</t>
        </is>
      </c>
      <c r="O41" s="16" t="n"/>
      <c r="P41" s="16" t="n"/>
      <c r="Q41" s="17">
        <f>IF(OR(P41="",NOT(ISNUMBER(P41))),"—",B41*P41/100)</f>
        <v/>
      </c>
    </row>
    <row r="42" ht="30" customHeight="1">
      <c r="A42" s="12" t="inlineStr">
        <is>
          <t>販管費削減目標</t>
        </is>
      </c>
      <c r="B42" s="13" t="n">
        <v>0.4</v>
      </c>
      <c r="C42" s="14" t="inlineStr">
        <is>
          <t>未達</t>
        </is>
      </c>
      <c r="D42" s="14" t="inlineStr">
        <is>
          <t>—</t>
        </is>
      </c>
      <c r="E42" s="14" t="inlineStr">
        <is>
          <t>—</t>
        </is>
      </c>
      <c r="F42" s="14" t="inlineStr">
        <is>
          <t>—</t>
        </is>
      </c>
      <c r="G42" s="14" t="inlineStr">
        <is>
          <t>—</t>
        </is>
      </c>
      <c r="H42" s="14" t="inlineStr">
        <is>
          <t>—</t>
        </is>
      </c>
      <c r="I42" s="14" t="inlineStr">
        <is>
          <t>月10万</t>
        </is>
      </c>
      <c r="J42" s="14" t="inlineStr">
        <is>
          <t>月20万</t>
        </is>
      </c>
      <c r="K42" s="14" t="inlineStr">
        <is>
          <t>月30万</t>
        </is>
      </c>
      <c r="L42" s="14" t="inlineStr">
        <is>
          <t>月40万</t>
        </is>
      </c>
      <c r="M42" s="14" t="inlineStr">
        <is>
          <t>月50万〜</t>
        </is>
      </c>
      <c r="N42" s="15" t="inlineStr">
        <is>
          <t>万円</t>
        </is>
      </c>
      <c r="O42" s="16" t="n"/>
      <c r="P42" s="16" t="n"/>
      <c r="Q42" s="17">
        <f>IF(OR(P42="",NOT(ISNUMBER(P42))),"—",B42*P42/100)</f>
        <v/>
      </c>
    </row>
    <row r="43" ht="30" customHeight="1">
      <c r="A43" s="12" t="inlineStr">
        <is>
          <t>人事採用目標</t>
        </is>
      </c>
      <c r="B43" s="13" t="n">
        <v>0.1</v>
      </c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5" t="inlineStr">
        <is>
          <t>人</t>
        </is>
      </c>
      <c r="O43" s="16" t="n"/>
      <c r="P43" s="16" t="n"/>
      <c r="Q43" s="17">
        <f>IF(OR(P43="",NOT(ISNUMBER(P43))),"—",B43*P43/100)</f>
        <v/>
      </c>
    </row>
    <row r="44" ht="30" customHeight="1">
      <c r="A44" s="12" t="inlineStr">
        <is>
          <t>その他課題</t>
        </is>
      </c>
      <c r="B44" s="13" t="n">
        <v>0.3</v>
      </c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  <c r="M44" s="14" t="inlineStr"/>
      <c r="N44" s="15" t="inlineStr">
        <is>
          <t>—</t>
        </is>
      </c>
      <c r="O44" s="16" t="n"/>
      <c r="P44" s="16" t="n"/>
      <c r="Q44" s="17">
        <f>IF(OR(P44="",NOT(ISNUMBER(P44))),"—",B44*P44/100)</f>
        <v/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総務管理 主任 池田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2" t="inlineStr">
        <is>
          <t>売上目標達成（全社）</t>
        </is>
      </c>
      <c r="B5" s="13" t="n">
        <v>0.3</v>
      </c>
      <c r="C5" s="14" t="inlineStr">
        <is>
          <t>75未満</t>
        </is>
      </c>
      <c r="D5" s="14" t="n">
        <v>75</v>
      </c>
      <c r="E5" s="14" t="n">
        <v>80</v>
      </c>
      <c r="F5" s="14" t="n">
        <v>85</v>
      </c>
      <c r="G5" s="14" t="n">
        <v>90</v>
      </c>
      <c r="H5" s="14" t="n">
        <v>95</v>
      </c>
      <c r="I5" s="14" t="n">
        <v>100</v>
      </c>
      <c r="J5" s="14" t="n">
        <v>105</v>
      </c>
      <c r="K5" s="14" t="n">
        <v>110</v>
      </c>
      <c r="L5" s="14" t="n">
        <v>115</v>
      </c>
      <c r="M5" s="14" t="inlineStr">
        <is>
          <t>120〜</t>
        </is>
      </c>
      <c r="N5" s="15" t="inlineStr">
        <is>
          <t>%</t>
        </is>
      </c>
      <c r="O5" s="16" t="n"/>
      <c r="P5" s="16" t="n"/>
      <c r="Q5" s="17">
        <f>IF(OR(P5="",NOT(ISNUMBER(P5))),"—",B5*P5/100)</f>
        <v/>
      </c>
    </row>
    <row r="6" ht="30" customHeight="1">
      <c r="A6" s="12" t="inlineStr">
        <is>
          <t>業務評価（加点式）</t>
        </is>
      </c>
      <c r="B6" s="13" t="n">
        <v>0.7</v>
      </c>
      <c r="C6" s="14" t="inlineStr">
        <is>
          <t>60点持ち点/上席判断で加減点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  <c r="N6" s="15" t="inlineStr">
        <is>
          <t>点</t>
        </is>
      </c>
      <c r="O6" s="16" t="n"/>
      <c r="P6" s="16" t="n"/>
      <c r="Q6" s="17">
        <f>IF(OR(P6="",NOT(ISNUMBER(P6))),"—",B6*P6/100)</f>
        <v/>
      </c>
    </row>
    <row r="7" ht="30" customHeight="1">
      <c r="A7" s="18" t="inlineStr">
        <is>
          <t>【減点】各種減点</t>
        </is>
      </c>
      <c r="B7" s="19" t="inlineStr">
        <is>
          <t>加点</t>
        </is>
      </c>
      <c r="C7" s="20" t="inlineStr">
        <is>
          <t>金銭ミス-3/コンプラ-10</t>
        </is>
      </c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>
        <is>
          <t>点</t>
        </is>
      </c>
      <c r="O7" s="16" t="n"/>
      <c r="P7" s="16" t="n"/>
      <c r="Q7" s="22" t="inlineStr">
        <is>
          <t>—</t>
        </is>
      </c>
    </row>
    <row r="8" ht="20" customHeight="1"/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2" t="inlineStr">
        <is>
          <t>売上目標達成（全社）</t>
        </is>
      </c>
      <c r="B17" s="13" t="n">
        <v>0.3</v>
      </c>
      <c r="C17" s="14" t="inlineStr">
        <is>
          <t>75未満</t>
        </is>
      </c>
      <c r="D17" s="14" t="n">
        <v>75</v>
      </c>
      <c r="E17" s="14" t="n">
        <v>80</v>
      </c>
      <c r="F17" s="14" t="n">
        <v>85</v>
      </c>
      <c r="G17" s="14" t="n">
        <v>90</v>
      </c>
      <c r="H17" s="14" t="n">
        <v>95</v>
      </c>
      <c r="I17" s="14" t="n">
        <v>100</v>
      </c>
      <c r="J17" s="14" t="n">
        <v>105</v>
      </c>
      <c r="K17" s="14" t="n">
        <v>110</v>
      </c>
      <c r="L17" s="14" t="n">
        <v>115</v>
      </c>
      <c r="M17" s="14" t="inlineStr">
        <is>
          <t>120〜</t>
        </is>
      </c>
      <c r="N17" s="15" t="inlineStr">
        <is>
          <t>%</t>
        </is>
      </c>
      <c r="O17" s="16" t="n"/>
      <c r="P17" s="16" t="n"/>
      <c r="Q17" s="17">
        <f>IF(OR(P17="",NOT(ISNUMBER(P17))),"—",B17*P17/100)</f>
        <v/>
      </c>
    </row>
    <row r="18" ht="30" customHeight="1">
      <c r="A18" s="12" t="inlineStr">
        <is>
          <t>業務評価（加点式）</t>
        </is>
      </c>
      <c r="B18" s="13" t="n">
        <v>0.7</v>
      </c>
      <c r="C18" s="14" t="inlineStr">
        <is>
          <t>60点持ち点/上席判断で加減点</t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5" t="inlineStr">
        <is>
          <t>点</t>
        </is>
      </c>
      <c r="O18" s="16" t="n"/>
      <c r="P18" s="16" t="n"/>
      <c r="Q18" s="17">
        <f>IF(OR(P18="",NOT(ISNUMBER(P18))),"—",B18*P18/100)</f>
        <v/>
      </c>
    </row>
    <row r="19" ht="30" customHeight="1">
      <c r="A19" s="18" t="inlineStr">
        <is>
          <t>【減点】各種減点</t>
        </is>
      </c>
      <c r="B19" s="19" t="inlineStr">
        <is>
          <t>加点</t>
        </is>
      </c>
      <c r="C19" s="20" t="inlineStr">
        <is>
          <t>金銭ミス-3/コンプラ-10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>
        <is>
          <t>点</t>
        </is>
      </c>
      <c r="O19" s="16" t="n"/>
      <c r="P19" s="16" t="n"/>
      <c r="Q19" s="22" t="inlineStr">
        <is>
          <t>—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2" t="inlineStr">
        <is>
          <t>売上目標達成（全社）</t>
        </is>
      </c>
      <c r="B29" s="13" t="n">
        <v>0.3</v>
      </c>
      <c r="C29" s="14" t="inlineStr">
        <is>
          <t>75未満</t>
        </is>
      </c>
      <c r="D29" s="14" t="n">
        <v>75</v>
      </c>
      <c r="E29" s="14" t="n">
        <v>80</v>
      </c>
      <c r="F29" s="14" t="n">
        <v>85</v>
      </c>
      <c r="G29" s="14" t="n">
        <v>90</v>
      </c>
      <c r="H29" s="14" t="n">
        <v>95</v>
      </c>
      <c r="I29" s="14" t="n">
        <v>100</v>
      </c>
      <c r="J29" s="14" t="n">
        <v>105</v>
      </c>
      <c r="K29" s="14" t="n">
        <v>110</v>
      </c>
      <c r="L29" s="14" t="n">
        <v>115</v>
      </c>
      <c r="M29" s="14" t="inlineStr">
        <is>
          <t>120〜</t>
        </is>
      </c>
      <c r="N29" s="15" t="inlineStr">
        <is>
          <t>%</t>
        </is>
      </c>
      <c r="O29" s="16" t="n"/>
      <c r="P29" s="16" t="n"/>
      <c r="Q29" s="17">
        <f>IF(OR(P29="",NOT(ISNUMBER(P29))),"—",B29*P29/100)</f>
        <v/>
      </c>
    </row>
    <row r="30" ht="30" customHeight="1">
      <c r="A30" s="12" t="inlineStr">
        <is>
          <t>業務評価（加点式）</t>
        </is>
      </c>
      <c r="B30" s="13" t="n">
        <v>0.7</v>
      </c>
      <c r="C30" s="14" t="inlineStr">
        <is>
          <t>60点持ち点/上席判断で加減点</t>
        </is>
      </c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5" t="inlineStr">
        <is>
          <t>点</t>
        </is>
      </c>
      <c r="O30" s="16" t="n"/>
      <c r="P30" s="16" t="n"/>
      <c r="Q30" s="17">
        <f>IF(OR(P30="",NOT(ISNUMBER(P30))),"—",B30*P30/100)</f>
        <v/>
      </c>
    </row>
    <row r="31" ht="30" customHeight="1">
      <c r="A31" s="18" t="inlineStr">
        <is>
          <t>【減点】各種減点</t>
        </is>
      </c>
      <c r="B31" s="19" t="inlineStr">
        <is>
          <t>加点</t>
        </is>
      </c>
      <c r="C31" s="20" t="inlineStr">
        <is>
          <t>金銭ミス-3/コンプラ-10</t>
        </is>
      </c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>
        <is>
          <t>点</t>
        </is>
      </c>
      <c r="O31" s="16" t="n"/>
      <c r="P31" s="16" t="n"/>
      <c r="Q31" s="22" t="inlineStr">
        <is>
          <t>—</t>
        </is>
      </c>
    </row>
    <row r="32" ht="20" customHeight="1"/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2" t="inlineStr">
        <is>
          <t>売上目標達成（全社）</t>
        </is>
      </c>
      <c r="B41" s="13" t="n">
        <v>0.3</v>
      </c>
      <c r="C41" s="14" t="inlineStr">
        <is>
          <t>75未満</t>
        </is>
      </c>
      <c r="D41" s="14" t="n">
        <v>75</v>
      </c>
      <c r="E41" s="14" t="n">
        <v>80</v>
      </c>
      <c r="F41" s="14" t="n">
        <v>85</v>
      </c>
      <c r="G41" s="14" t="n">
        <v>90</v>
      </c>
      <c r="H41" s="14" t="n">
        <v>95</v>
      </c>
      <c r="I41" s="14" t="n">
        <v>100</v>
      </c>
      <c r="J41" s="14" t="n">
        <v>105</v>
      </c>
      <c r="K41" s="14" t="n">
        <v>110</v>
      </c>
      <c r="L41" s="14" t="n">
        <v>115</v>
      </c>
      <c r="M41" s="14" t="inlineStr">
        <is>
          <t>120〜</t>
        </is>
      </c>
      <c r="N41" s="15" t="inlineStr">
        <is>
          <t>%</t>
        </is>
      </c>
      <c r="O41" s="16" t="n"/>
      <c r="P41" s="16" t="n"/>
      <c r="Q41" s="17">
        <f>IF(OR(P41="",NOT(ISNUMBER(P41))),"—",B41*P41/100)</f>
        <v/>
      </c>
    </row>
    <row r="42" ht="30" customHeight="1">
      <c r="A42" s="12" t="inlineStr">
        <is>
          <t>業務評価（加点式）</t>
        </is>
      </c>
      <c r="B42" s="13" t="n">
        <v>0.7</v>
      </c>
      <c r="C42" s="14" t="inlineStr">
        <is>
          <t>60点持ち点/上席判断で加減点</t>
        </is>
      </c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5" t="inlineStr">
        <is>
          <t>点</t>
        </is>
      </c>
      <c r="O42" s="16" t="n"/>
      <c r="P42" s="16" t="n"/>
      <c r="Q42" s="17">
        <f>IF(OR(P42="",NOT(ISNUMBER(P42))),"—",B42*P42/100)</f>
        <v/>
      </c>
    </row>
    <row r="43" ht="30" customHeight="1">
      <c r="A43" s="18" t="inlineStr">
        <is>
          <t>【減点】各種減点</t>
        </is>
      </c>
      <c r="B43" s="19" t="inlineStr">
        <is>
          <t>加点</t>
        </is>
      </c>
      <c r="C43" s="20" t="inlineStr">
        <is>
          <t>金銭ミス-3/コンプラ-10</t>
        </is>
      </c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>
        <is>
          <t>点</t>
        </is>
      </c>
      <c r="O43" s="16" t="n"/>
      <c r="P43" s="16" t="n"/>
      <c r="Q43" s="22" t="inlineStr">
        <is>
          <t>—</t>
        </is>
      </c>
    </row>
    <row r="44" ht="20" customHeight="1"/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総務管理 一般 田尻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総務管理 一般 宮本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総務管理 一般 松尾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総務管理 新人 SZ新人①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総務管理 新人 SZ新人②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管理推進 一般 沖田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2" t="inlineStr">
        <is>
          <t>売上目標達成（全社）</t>
        </is>
      </c>
      <c r="B5" s="13" t="n">
        <v>0.2</v>
      </c>
      <c r="C5" s="14" t="inlineStr">
        <is>
          <t>75未満</t>
        </is>
      </c>
      <c r="D5" s="14" t="n">
        <v>75</v>
      </c>
      <c r="E5" s="14" t="n">
        <v>80</v>
      </c>
      <c r="F5" s="14" t="n">
        <v>85</v>
      </c>
      <c r="G5" s="14" t="n">
        <v>90</v>
      </c>
      <c r="H5" s="14" t="n">
        <v>95</v>
      </c>
      <c r="I5" s="14" t="n">
        <v>100</v>
      </c>
      <c r="J5" s="14" t="n">
        <v>105</v>
      </c>
      <c r="K5" s="14" t="n">
        <v>110</v>
      </c>
      <c r="L5" s="14" t="n">
        <v>115</v>
      </c>
      <c r="M5" s="14" t="inlineStr">
        <is>
          <t>120〜</t>
        </is>
      </c>
      <c r="N5" s="15" t="inlineStr">
        <is>
          <t>%</t>
        </is>
      </c>
      <c r="O5" s="16" t="n"/>
      <c r="P5" s="16" t="n"/>
      <c r="Q5" s="17">
        <f>IF(OR(P5="",NOT(ISNUMBER(P5))),"—",B5*P5/100)</f>
        <v/>
      </c>
    </row>
    <row r="6" ht="30" customHeight="1">
      <c r="A6" s="12" t="inlineStr">
        <is>
          <t>オーナー交渉PT（個人）</t>
        </is>
      </c>
      <c r="B6" s="13" t="n">
        <v>0.5</v>
      </c>
      <c r="C6" s="14" t="inlineStr">
        <is>
          <t>90未満</t>
        </is>
      </c>
      <c r="D6" s="14" t="n">
        <v>90</v>
      </c>
      <c r="E6" s="14" t="n">
        <v>120</v>
      </c>
      <c r="F6" s="14" t="n">
        <v>150</v>
      </c>
      <c r="G6" s="14" t="n">
        <v>180</v>
      </c>
      <c r="H6" s="14" t="n">
        <v>210</v>
      </c>
      <c r="I6" s="14" t="n">
        <v>240</v>
      </c>
      <c r="J6" s="14" t="n">
        <v>270</v>
      </c>
      <c r="K6" s="14" t="n">
        <v>300</v>
      </c>
      <c r="L6" s="14" t="n">
        <v>330</v>
      </c>
      <c r="M6" s="14" t="inlineStr">
        <is>
          <t>360〜</t>
        </is>
      </c>
      <c r="N6" s="15" t="inlineStr">
        <is>
          <t>pt</t>
        </is>
      </c>
      <c r="O6" s="16" t="n"/>
      <c r="P6" s="16" t="n"/>
      <c r="Q6" s="17">
        <f>IF(OR(P6="",NOT(ISNUMBER(P6))),"—",B6*P6/100)</f>
        <v/>
      </c>
    </row>
    <row r="7" ht="30" customHeight="1">
      <c r="A7" s="12" t="inlineStr">
        <is>
          <t>オーナー提案（個人）</t>
        </is>
      </c>
      <c r="B7" s="13" t="n">
        <v>0.3</v>
      </c>
      <c r="C7" s="14" t="inlineStr">
        <is>
          <t>出来ない</t>
        </is>
      </c>
      <c r="D7" s="14" t="inlineStr">
        <is>
          <t>—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担当者可</t>
        </is>
      </c>
      <c r="J7" s="14" t="inlineStr">
        <is>
          <t>300万</t>
        </is>
      </c>
      <c r="K7" s="14" t="inlineStr">
        <is>
          <t>600万</t>
        </is>
      </c>
      <c r="L7" s="14" t="inlineStr">
        <is>
          <t>900万</t>
        </is>
      </c>
      <c r="M7" s="14" t="inlineStr">
        <is>
          <t>1200万〜</t>
        </is>
      </c>
      <c r="N7" s="15" t="inlineStr">
        <is>
          <t>—</t>
        </is>
      </c>
      <c r="O7" s="16" t="n"/>
      <c r="P7" s="16" t="n"/>
      <c r="Q7" s="17">
        <f>IF(OR(P7="",NOT(ISNUMBER(P7))),"—",B7*P7/100)</f>
        <v/>
      </c>
    </row>
    <row r="8" ht="30" customHeight="1">
      <c r="A8" s="18" t="inlineStr">
        <is>
          <t>【加点】新規管理物件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>
        <is>
          <t>棟</t>
        </is>
      </c>
      <c r="O8" s="16" t="n"/>
      <c r="P8" s="16" t="n"/>
      <c r="Q8" s="22" t="inlineStr">
        <is>
          <t>—</t>
        </is>
      </c>
    </row>
    <row r="9" ht="30" customHeight="1">
      <c r="A9" s="18" t="inlineStr">
        <is>
          <t>【加点】売買仲介</t>
        </is>
      </c>
      <c r="B9" s="19" t="inlineStr">
        <is>
          <t>加点</t>
        </is>
      </c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1" t="inlineStr">
        <is>
          <t>件</t>
        </is>
      </c>
      <c r="O9" s="16" t="n"/>
      <c r="P9" s="16" t="n"/>
      <c r="Q9" s="22" t="inlineStr">
        <is>
          <t>—</t>
        </is>
      </c>
    </row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2" t="inlineStr">
        <is>
          <t>売上目標達成（全社）</t>
        </is>
      </c>
      <c r="B17" s="13" t="n">
        <v>0.2</v>
      </c>
      <c r="C17" s="14" t="inlineStr">
        <is>
          <t>75未満</t>
        </is>
      </c>
      <c r="D17" s="14" t="n">
        <v>75</v>
      </c>
      <c r="E17" s="14" t="n">
        <v>80</v>
      </c>
      <c r="F17" s="14" t="n">
        <v>85</v>
      </c>
      <c r="G17" s="14" t="n">
        <v>90</v>
      </c>
      <c r="H17" s="14" t="n">
        <v>95</v>
      </c>
      <c r="I17" s="14" t="n">
        <v>100</v>
      </c>
      <c r="J17" s="14" t="n">
        <v>105</v>
      </c>
      <c r="K17" s="14" t="n">
        <v>110</v>
      </c>
      <c r="L17" s="14" t="n">
        <v>115</v>
      </c>
      <c r="M17" s="14" t="inlineStr">
        <is>
          <t>120〜</t>
        </is>
      </c>
      <c r="N17" s="15" t="inlineStr">
        <is>
          <t>%</t>
        </is>
      </c>
      <c r="O17" s="16" t="n"/>
      <c r="P17" s="16" t="n"/>
      <c r="Q17" s="17">
        <f>IF(OR(P17="",NOT(ISNUMBER(P17))),"—",B17*P17/100)</f>
        <v/>
      </c>
    </row>
    <row r="18" ht="30" customHeight="1">
      <c r="A18" s="12" t="inlineStr">
        <is>
          <t>オーナー交渉PT（個人）</t>
        </is>
      </c>
      <c r="B18" s="13" t="n">
        <v>0.5</v>
      </c>
      <c r="C18" s="14" t="inlineStr">
        <is>
          <t>90未満</t>
        </is>
      </c>
      <c r="D18" s="14" t="n">
        <v>90</v>
      </c>
      <c r="E18" s="14" t="n">
        <v>120</v>
      </c>
      <c r="F18" s="14" t="n">
        <v>150</v>
      </c>
      <c r="G18" s="14" t="n">
        <v>180</v>
      </c>
      <c r="H18" s="14" t="n">
        <v>210</v>
      </c>
      <c r="I18" s="14" t="n">
        <v>240</v>
      </c>
      <c r="J18" s="14" t="n">
        <v>270</v>
      </c>
      <c r="K18" s="14" t="n">
        <v>300</v>
      </c>
      <c r="L18" s="14" t="n">
        <v>330</v>
      </c>
      <c r="M18" s="14" t="inlineStr">
        <is>
          <t>360〜</t>
        </is>
      </c>
      <c r="N18" s="15" t="inlineStr">
        <is>
          <t>pt</t>
        </is>
      </c>
      <c r="O18" s="16" t="n"/>
      <c r="P18" s="16" t="n"/>
      <c r="Q18" s="17">
        <f>IF(OR(P18="",NOT(ISNUMBER(P18))),"—",B18*P18/100)</f>
        <v/>
      </c>
    </row>
    <row r="19" ht="30" customHeight="1">
      <c r="A19" s="12" t="inlineStr">
        <is>
          <t>オーナー提案（個人）</t>
        </is>
      </c>
      <c r="B19" s="13" t="n">
        <v>0.3</v>
      </c>
      <c r="C19" s="14" t="inlineStr">
        <is>
          <t>出来ない</t>
        </is>
      </c>
      <c r="D19" s="14" t="inlineStr">
        <is>
          <t>—</t>
        </is>
      </c>
      <c r="E19" s="14" t="inlineStr">
        <is>
          <t>—</t>
        </is>
      </c>
      <c r="F19" s="14" t="inlineStr">
        <is>
          <t>—</t>
        </is>
      </c>
      <c r="G19" s="14" t="inlineStr">
        <is>
          <t>—</t>
        </is>
      </c>
      <c r="H19" s="14" t="inlineStr">
        <is>
          <t>—</t>
        </is>
      </c>
      <c r="I19" s="14" t="inlineStr">
        <is>
          <t>担当者可</t>
        </is>
      </c>
      <c r="J19" s="14" t="inlineStr">
        <is>
          <t>300万</t>
        </is>
      </c>
      <c r="K19" s="14" t="inlineStr">
        <is>
          <t>600万</t>
        </is>
      </c>
      <c r="L19" s="14" t="inlineStr">
        <is>
          <t>900万</t>
        </is>
      </c>
      <c r="M19" s="14" t="inlineStr">
        <is>
          <t>1200万〜</t>
        </is>
      </c>
      <c r="N19" s="15" t="inlineStr">
        <is>
          <t>—</t>
        </is>
      </c>
      <c r="O19" s="16" t="n"/>
      <c r="P19" s="16" t="n"/>
      <c r="Q19" s="17">
        <f>IF(OR(P19="",NOT(ISNUMBER(P19))),"—",B19*P19/100)</f>
        <v/>
      </c>
    </row>
    <row r="20" ht="30" customHeight="1">
      <c r="A20" s="18" t="inlineStr">
        <is>
          <t>【加点】新規管理物件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>
        <is>
          <t>棟</t>
        </is>
      </c>
      <c r="O20" s="16" t="n"/>
      <c r="P20" s="16" t="n"/>
      <c r="Q20" s="22" t="inlineStr">
        <is>
          <t>—</t>
        </is>
      </c>
    </row>
    <row r="21" ht="30" customHeight="1">
      <c r="A21" s="18" t="inlineStr">
        <is>
          <t>【加点】売買仲介</t>
        </is>
      </c>
      <c r="B21" s="19" t="inlineStr">
        <is>
          <t>加点</t>
        </is>
      </c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0" t="inlineStr"/>
      <c r="L21" s="20" t="inlineStr"/>
      <c r="M21" s="20" t="inlineStr"/>
      <c r="N21" s="21" t="inlineStr">
        <is>
          <t>件</t>
        </is>
      </c>
      <c r="O21" s="16" t="n"/>
      <c r="P21" s="16" t="n"/>
      <c r="Q21" s="22" t="inlineStr">
        <is>
          <t>—</t>
        </is>
      </c>
    </row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2" t="inlineStr">
        <is>
          <t>売上目標達成（全社）</t>
        </is>
      </c>
      <c r="B29" s="13" t="n">
        <v>0.2</v>
      </c>
      <c r="C29" s="14" t="inlineStr">
        <is>
          <t>75未満</t>
        </is>
      </c>
      <c r="D29" s="14" t="n">
        <v>75</v>
      </c>
      <c r="E29" s="14" t="n">
        <v>80</v>
      </c>
      <c r="F29" s="14" t="n">
        <v>85</v>
      </c>
      <c r="G29" s="14" t="n">
        <v>90</v>
      </c>
      <c r="H29" s="14" t="n">
        <v>95</v>
      </c>
      <c r="I29" s="14" t="n">
        <v>100</v>
      </c>
      <c r="J29" s="14" t="n">
        <v>105</v>
      </c>
      <c r="K29" s="14" t="n">
        <v>110</v>
      </c>
      <c r="L29" s="14" t="n">
        <v>115</v>
      </c>
      <c r="M29" s="14" t="inlineStr">
        <is>
          <t>120〜</t>
        </is>
      </c>
      <c r="N29" s="15" t="inlineStr">
        <is>
          <t>%</t>
        </is>
      </c>
      <c r="O29" s="16" t="n"/>
      <c r="P29" s="16" t="n"/>
      <c r="Q29" s="17">
        <f>IF(OR(P29="",NOT(ISNUMBER(P29))),"—",B29*P29/100)</f>
        <v/>
      </c>
    </row>
    <row r="30" ht="30" customHeight="1">
      <c r="A30" s="12" t="inlineStr">
        <is>
          <t>オーナー交渉PT（個人）</t>
        </is>
      </c>
      <c r="B30" s="13" t="n">
        <v>0.5</v>
      </c>
      <c r="C30" s="14" t="inlineStr">
        <is>
          <t>90未満</t>
        </is>
      </c>
      <c r="D30" s="14" t="n">
        <v>90</v>
      </c>
      <c r="E30" s="14" t="n">
        <v>120</v>
      </c>
      <c r="F30" s="14" t="n">
        <v>150</v>
      </c>
      <c r="G30" s="14" t="n">
        <v>180</v>
      </c>
      <c r="H30" s="14" t="n">
        <v>210</v>
      </c>
      <c r="I30" s="14" t="n">
        <v>240</v>
      </c>
      <c r="J30" s="14" t="n">
        <v>270</v>
      </c>
      <c r="K30" s="14" t="n">
        <v>300</v>
      </c>
      <c r="L30" s="14" t="n">
        <v>330</v>
      </c>
      <c r="M30" s="14" t="inlineStr">
        <is>
          <t>360〜</t>
        </is>
      </c>
      <c r="N30" s="15" t="inlineStr">
        <is>
          <t>pt</t>
        </is>
      </c>
      <c r="O30" s="16" t="n"/>
      <c r="P30" s="16" t="n"/>
      <c r="Q30" s="17">
        <f>IF(OR(P30="",NOT(ISNUMBER(P30))),"—",B30*P30/100)</f>
        <v/>
      </c>
    </row>
    <row r="31" ht="30" customHeight="1">
      <c r="A31" s="12" t="inlineStr">
        <is>
          <t>オーナー提案（個人）</t>
        </is>
      </c>
      <c r="B31" s="13" t="n">
        <v>0.3</v>
      </c>
      <c r="C31" s="14" t="inlineStr">
        <is>
          <t>出来ない</t>
        </is>
      </c>
      <c r="D31" s="14" t="inlineStr">
        <is>
          <t>—</t>
        </is>
      </c>
      <c r="E31" s="14" t="inlineStr">
        <is>
          <t>—</t>
        </is>
      </c>
      <c r="F31" s="14" t="inlineStr">
        <is>
          <t>—</t>
        </is>
      </c>
      <c r="G31" s="14" t="inlineStr">
        <is>
          <t>—</t>
        </is>
      </c>
      <c r="H31" s="14" t="inlineStr">
        <is>
          <t>—</t>
        </is>
      </c>
      <c r="I31" s="14" t="inlineStr">
        <is>
          <t>担当者可</t>
        </is>
      </c>
      <c r="J31" s="14" t="inlineStr">
        <is>
          <t>300万</t>
        </is>
      </c>
      <c r="K31" s="14" t="inlineStr">
        <is>
          <t>600万</t>
        </is>
      </c>
      <c r="L31" s="14" t="inlineStr">
        <is>
          <t>900万</t>
        </is>
      </c>
      <c r="M31" s="14" t="inlineStr">
        <is>
          <t>1200万〜</t>
        </is>
      </c>
      <c r="N31" s="15" t="inlineStr">
        <is>
          <t>—</t>
        </is>
      </c>
      <c r="O31" s="16" t="n"/>
      <c r="P31" s="16" t="n"/>
      <c r="Q31" s="17">
        <f>IF(OR(P31="",NOT(ISNUMBER(P31))),"—",B31*P31/100)</f>
        <v/>
      </c>
    </row>
    <row r="32" ht="30" customHeight="1">
      <c r="A32" s="18" t="inlineStr">
        <is>
          <t>【加点】新規管理物件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>
        <is>
          <t>棟</t>
        </is>
      </c>
      <c r="O32" s="16" t="n"/>
      <c r="P32" s="16" t="n"/>
      <c r="Q32" s="22" t="inlineStr">
        <is>
          <t>—</t>
        </is>
      </c>
    </row>
    <row r="33" ht="30" customHeight="1">
      <c r="A33" s="18" t="inlineStr">
        <is>
          <t>【加点】売買仲介</t>
        </is>
      </c>
      <c r="B33" s="19" t="inlineStr">
        <is>
          <t>加点</t>
        </is>
      </c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0" t="inlineStr"/>
      <c r="L33" s="20" t="inlineStr"/>
      <c r="M33" s="20" t="inlineStr"/>
      <c r="N33" s="21" t="inlineStr">
        <is>
          <t>件</t>
        </is>
      </c>
      <c r="O33" s="16" t="n"/>
      <c r="P33" s="16" t="n"/>
      <c r="Q33" s="22" t="inlineStr">
        <is>
          <t>—</t>
        </is>
      </c>
    </row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2" t="inlineStr">
        <is>
          <t>売上目標達成（全社）</t>
        </is>
      </c>
      <c r="B41" s="13" t="n">
        <v>0.2</v>
      </c>
      <c r="C41" s="14" t="inlineStr">
        <is>
          <t>75未満</t>
        </is>
      </c>
      <c r="D41" s="14" t="n">
        <v>75</v>
      </c>
      <c r="E41" s="14" t="n">
        <v>80</v>
      </c>
      <c r="F41" s="14" t="n">
        <v>85</v>
      </c>
      <c r="G41" s="14" t="n">
        <v>90</v>
      </c>
      <c r="H41" s="14" t="n">
        <v>95</v>
      </c>
      <c r="I41" s="14" t="n">
        <v>100</v>
      </c>
      <c r="J41" s="14" t="n">
        <v>105</v>
      </c>
      <c r="K41" s="14" t="n">
        <v>110</v>
      </c>
      <c r="L41" s="14" t="n">
        <v>115</v>
      </c>
      <c r="M41" s="14" t="inlineStr">
        <is>
          <t>120〜</t>
        </is>
      </c>
      <c r="N41" s="15" t="inlineStr">
        <is>
          <t>%</t>
        </is>
      </c>
      <c r="O41" s="16" t="n"/>
      <c r="P41" s="16" t="n"/>
      <c r="Q41" s="17">
        <f>IF(OR(P41="",NOT(ISNUMBER(P41))),"—",B41*P41/100)</f>
        <v/>
      </c>
    </row>
    <row r="42" ht="30" customHeight="1">
      <c r="A42" s="12" t="inlineStr">
        <is>
          <t>オーナー交渉PT（個人）</t>
        </is>
      </c>
      <c r="B42" s="13" t="n">
        <v>0.5</v>
      </c>
      <c r="C42" s="14" t="inlineStr">
        <is>
          <t>90未満</t>
        </is>
      </c>
      <c r="D42" s="14" t="n">
        <v>90</v>
      </c>
      <c r="E42" s="14" t="n">
        <v>120</v>
      </c>
      <c r="F42" s="14" t="n">
        <v>150</v>
      </c>
      <c r="G42" s="14" t="n">
        <v>180</v>
      </c>
      <c r="H42" s="14" t="n">
        <v>210</v>
      </c>
      <c r="I42" s="14" t="n">
        <v>240</v>
      </c>
      <c r="J42" s="14" t="n">
        <v>270</v>
      </c>
      <c r="K42" s="14" t="n">
        <v>300</v>
      </c>
      <c r="L42" s="14" t="n">
        <v>330</v>
      </c>
      <c r="M42" s="14" t="inlineStr">
        <is>
          <t>360〜</t>
        </is>
      </c>
      <c r="N42" s="15" t="inlineStr">
        <is>
          <t>pt</t>
        </is>
      </c>
      <c r="O42" s="16" t="n"/>
      <c r="P42" s="16" t="n"/>
      <c r="Q42" s="17">
        <f>IF(OR(P42="",NOT(ISNUMBER(P42))),"—",B42*P42/100)</f>
        <v/>
      </c>
    </row>
    <row r="43" ht="30" customHeight="1">
      <c r="A43" s="12" t="inlineStr">
        <is>
          <t>オーナー提案（個人）</t>
        </is>
      </c>
      <c r="B43" s="13" t="n">
        <v>0.3</v>
      </c>
      <c r="C43" s="14" t="inlineStr">
        <is>
          <t>出来ない</t>
        </is>
      </c>
      <c r="D43" s="14" t="inlineStr">
        <is>
          <t>—</t>
        </is>
      </c>
      <c r="E43" s="14" t="inlineStr">
        <is>
          <t>—</t>
        </is>
      </c>
      <c r="F43" s="14" t="inlineStr">
        <is>
          <t>—</t>
        </is>
      </c>
      <c r="G43" s="14" t="inlineStr">
        <is>
          <t>—</t>
        </is>
      </c>
      <c r="H43" s="14" t="inlineStr">
        <is>
          <t>—</t>
        </is>
      </c>
      <c r="I43" s="14" t="inlineStr">
        <is>
          <t>担当者可</t>
        </is>
      </c>
      <c r="J43" s="14" t="inlineStr">
        <is>
          <t>300万</t>
        </is>
      </c>
      <c r="K43" s="14" t="inlineStr">
        <is>
          <t>600万</t>
        </is>
      </c>
      <c r="L43" s="14" t="inlineStr">
        <is>
          <t>900万</t>
        </is>
      </c>
      <c r="M43" s="14" t="inlineStr">
        <is>
          <t>1200万〜</t>
        </is>
      </c>
      <c r="N43" s="15" t="inlineStr">
        <is>
          <t>—</t>
        </is>
      </c>
      <c r="O43" s="16" t="n"/>
      <c r="P43" s="16" t="n"/>
      <c r="Q43" s="17">
        <f>IF(OR(P43="",NOT(ISNUMBER(P43))),"—",B43*P43/100)</f>
        <v/>
      </c>
    </row>
    <row r="44" ht="30" customHeight="1">
      <c r="A44" s="18" t="inlineStr">
        <is>
          <t>【加点】新規管理物件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>
        <is>
          <t>棟</t>
        </is>
      </c>
      <c r="O44" s="16" t="n"/>
      <c r="P44" s="16" t="n"/>
      <c r="Q44" s="22" t="inlineStr">
        <is>
          <t>—</t>
        </is>
      </c>
    </row>
    <row r="45" ht="30" customHeight="1">
      <c r="A45" s="18" t="inlineStr">
        <is>
          <t>【加点】売買仲介</t>
        </is>
      </c>
      <c r="B45" s="19" t="inlineStr">
        <is>
          <t>加点</t>
        </is>
      </c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  <c r="L45" s="20" t="inlineStr"/>
      <c r="M45" s="20" t="inlineStr"/>
      <c r="N45" s="21" t="inlineStr">
        <is>
          <t>件</t>
        </is>
      </c>
      <c r="O45" s="16" t="n"/>
      <c r="P45" s="16" t="n"/>
      <c r="Q45" s="22" t="inlineStr">
        <is>
          <t>—</t>
        </is>
      </c>
    </row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管理推進 新人 KS新人①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0" customWidth="1" min="16" max="16"/>
    <col width="12" customWidth="1" min="17" max="17"/>
  </cols>
  <sheetData>
    <row r="1" ht="24" customHeight="1">
      <c r="A1" s="9" t="inlineStr">
        <is>
          <t>【個人評価シート】 管理推進 新人 KS新人②</t>
        </is>
      </c>
    </row>
    <row r="3" ht="18" customHeight="1">
      <c r="A3" s="10" t="inlineStr">
        <is>
          <t>【Q1】 11月〜1月</t>
        </is>
      </c>
    </row>
    <row r="4" ht="28" customHeight="1">
      <c r="A4" s="11" t="inlineStr">
        <is>
          <t>評価項目</t>
        </is>
      </c>
      <c r="B4" s="11" t="inlineStr">
        <is>
          <t>重み</t>
        </is>
      </c>
      <c r="C4" s="11" t="inlineStr">
        <is>
          <t>基0</t>
        </is>
      </c>
      <c r="D4" s="11" t="inlineStr">
        <is>
          <t>基10</t>
        </is>
      </c>
      <c r="E4" s="11" t="inlineStr">
        <is>
          <t>基20</t>
        </is>
      </c>
      <c r="F4" s="11" t="inlineStr">
        <is>
          <t>基30</t>
        </is>
      </c>
      <c r="G4" s="11" t="inlineStr">
        <is>
          <t>基40</t>
        </is>
      </c>
      <c r="H4" s="11" t="inlineStr">
        <is>
          <t>基50</t>
        </is>
      </c>
      <c r="I4" s="11" t="inlineStr">
        <is>
          <t>基60</t>
        </is>
      </c>
      <c r="J4" s="11" t="inlineStr">
        <is>
          <t>基70</t>
        </is>
      </c>
      <c r="K4" s="11" t="inlineStr">
        <is>
          <t>基80</t>
        </is>
      </c>
      <c r="L4" s="11" t="inlineStr">
        <is>
          <t>基90</t>
        </is>
      </c>
      <c r="M4" s="11" t="inlineStr">
        <is>
          <t>基100</t>
        </is>
      </c>
      <c r="N4" s="11" t="inlineStr">
        <is>
          <t>単位</t>
        </is>
      </c>
      <c r="O4" s="11" t="inlineStr">
        <is>
          <t>結果(入力)</t>
        </is>
      </c>
      <c r="P4" s="11" t="inlineStr">
        <is>
          <t>尺度結果</t>
        </is>
      </c>
      <c r="Q4" s="11" t="inlineStr">
        <is>
          <t>重み×尺度</t>
        </is>
      </c>
    </row>
    <row r="5" ht="30" customHeight="1">
      <c r="A5" s="18" t="inlineStr">
        <is>
          <t>目標①</t>
        </is>
      </c>
      <c r="B5" s="19" t="inlineStr">
        <is>
          <t>加点</t>
        </is>
      </c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1" t="inlineStr"/>
      <c r="O5" s="16" t="n"/>
      <c r="P5" s="16" t="n"/>
      <c r="Q5" s="22" t="inlineStr">
        <is>
          <t>—</t>
        </is>
      </c>
    </row>
    <row r="6" ht="30" customHeight="1">
      <c r="A6" s="18" t="inlineStr">
        <is>
          <t>目標②</t>
        </is>
      </c>
      <c r="B6" s="19" t="inlineStr">
        <is>
          <t>加点</t>
        </is>
      </c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1" t="inlineStr"/>
      <c r="O6" s="16" t="n"/>
      <c r="P6" s="16" t="n"/>
      <c r="Q6" s="22" t="inlineStr">
        <is>
          <t>—</t>
        </is>
      </c>
    </row>
    <row r="7" ht="30" customHeight="1">
      <c r="A7" s="18" t="inlineStr">
        <is>
          <t>目標③</t>
        </is>
      </c>
      <c r="B7" s="19" t="inlineStr">
        <is>
          <t>加点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1" t="inlineStr"/>
      <c r="O7" s="16" t="n"/>
      <c r="P7" s="16" t="n"/>
      <c r="Q7" s="22" t="inlineStr">
        <is>
          <t>—</t>
        </is>
      </c>
    </row>
    <row r="8" ht="30" customHeight="1">
      <c r="A8" s="18" t="inlineStr">
        <is>
          <t>【加点】加点項目</t>
        </is>
      </c>
      <c r="B8" s="19" t="inlineStr">
        <is>
          <t>加点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0" t="inlineStr"/>
      <c r="L8" s="20" t="inlineStr"/>
      <c r="M8" s="20" t="inlineStr"/>
      <c r="N8" s="21" t="inlineStr"/>
      <c r="O8" s="16" t="n"/>
      <c r="P8" s="16" t="n"/>
      <c r="Q8" s="22" t="inlineStr">
        <is>
          <t>—</t>
        </is>
      </c>
    </row>
    <row r="9" ht="20" customHeight="1"/>
    <row r="10" ht="20" customHeight="1"/>
    <row r="11" ht="20" customHeight="1"/>
    <row r="12" ht="20" customHeight="1"/>
    <row r="13" ht="20" customHeight="1">
      <c r="A13" s="23" t="inlineStr">
        <is>
          <t>Q1 合計点</t>
        </is>
      </c>
      <c r="Q13" s="24">
        <f>SUMIF(Q5:Q12,"&lt;&gt;—")</f>
        <v/>
      </c>
    </row>
    <row r="14" ht="4" customHeight="1"/>
    <row r="15" ht="18" customHeight="1">
      <c r="A15" s="25" t="inlineStr">
        <is>
          <t>【Q2】 2月〜4月</t>
        </is>
      </c>
    </row>
    <row r="16" ht="28" customHeight="1">
      <c r="A16" s="11" t="inlineStr">
        <is>
          <t>評価項目</t>
        </is>
      </c>
      <c r="B16" s="11" t="inlineStr">
        <is>
          <t>重み</t>
        </is>
      </c>
      <c r="C16" s="11" t="inlineStr">
        <is>
          <t>基0</t>
        </is>
      </c>
      <c r="D16" s="11" t="inlineStr">
        <is>
          <t>基10</t>
        </is>
      </c>
      <c r="E16" s="11" t="inlineStr">
        <is>
          <t>基20</t>
        </is>
      </c>
      <c r="F16" s="11" t="inlineStr">
        <is>
          <t>基30</t>
        </is>
      </c>
      <c r="G16" s="11" t="inlineStr">
        <is>
          <t>基40</t>
        </is>
      </c>
      <c r="H16" s="11" t="inlineStr">
        <is>
          <t>基50</t>
        </is>
      </c>
      <c r="I16" s="11" t="inlineStr">
        <is>
          <t>基60</t>
        </is>
      </c>
      <c r="J16" s="11" t="inlineStr">
        <is>
          <t>基70</t>
        </is>
      </c>
      <c r="K16" s="11" t="inlineStr">
        <is>
          <t>基80</t>
        </is>
      </c>
      <c r="L16" s="11" t="inlineStr">
        <is>
          <t>基90</t>
        </is>
      </c>
      <c r="M16" s="11" t="inlineStr">
        <is>
          <t>基100</t>
        </is>
      </c>
      <c r="N16" s="11" t="inlineStr">
        <is>
          <t>単位</t>
        </is>
      </c>
      <c r="O16" s="11" t="inlineStr">
        <is>
          <t>結果(入力)</t>
        </is>
      </c>
      <c r="P16" s="11" t="inlineStr">
        <is>
          <t>尺度結果</t>
        </is>
      </c>
      <c r="Q16" s="11" t="inlineStr">
        <is>
          <t>重み×尺度</t>
        </is>
      </c>
    </row>
    <row r="17" ht="30" customHeight="1">
      <c r="A17" s="18" t="inlineStr">
        <is>
          <t>目標①</t>
        </is>
      </c>
      <c r="B17" s="19" t="inlineStr">
        <is>
          <t>加点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1" t="inlineStr"/>
      <c r="O17" s="16" t="n"/>
      <c r="P17" s="16" t="n"/>
      <c r="Q17" s="22" t="inlineStr">
        <is>
          <t>—</t>
        </is>
      </c>
    </row>
    <row r="18" ht="30" customHeight="1">
      <c r="A18" s="18" t="inlineStr">
        <is>
          <t>目標②</t>
        </is>
      </c>
      <c r="B18" s="19" t="inlineStr">
        <is>
          <t>加点</t>
        </is>
      </c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0" t="inlineStr"/>
      <c r="L18" s="20" t="inlineStr"/>
      <c r="M18" s="20" t="inlineStr"/>
      <c r="N18" s="21" t="inlineStr"/>
      <c r="O18" s="16" t="n"/>
      <c r="P18" s="16" t="n"/>
      <c r="Q18" s="22" t="inlineStr">
        <is>
          <t>—</t>
        </is>
      </c>
    </row>
    <row r="19" ht="30" customHeight="1">
      <c r="A19" s="18" t="inlineStr">
        <is>
          <t>目標③</t>
        </is>
      </c>
      <c r="B19" s="19" t="inlineStr">
        <is>
          <t>加点</t>
        </is>
      </c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1" t="inlineStr"/>
      <c r="O19" s="16" t="n"/>
      <c r="P19" s="16" t="n"/>
      <c r="Q19" s="22" t="inlineStr">
        <is>
          <t>—</t>
        </is>
      </c>
    </row>
    <row r="20" ht="30" customHeight="1">
      <c r="A20" s="18" t="inlineStr">
        <is>
          <t>【加点】加点項目</t>
        </is>
      </c>
      <c r="B20" s="19" t="inlineStr">
        <is>
          <t>加点</t>
        </is>
      </c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0" t="inlineStr"/>
      <c r="L20" s="20" t="inlineStr"/>
      <c r="M20" s="20" t="inlineStr"/>
      <c r="N20" s="21" t="inlineStr"/>
      <c r="O20" s="16" t="n"/>
      <c r="P20" s="16" t="n"/>
      <c r="Q20" s="22" t="inlineStr">
        <is>
          <t>—</t>
        </is>
      </c>
    </row>
    <row r="21" ht="20" customHeight="1"/>
    <row r="22" ht="20" customHeight="1"/>
    <row r="23" ht="20" customHeight="1"/>
    <row r="24" ht="20" customHeight="1"/>
    <row r="25" ht="20" customHeight="1">
      <c r="A25" s="23" t="inlineStr">
        <is>
          <t>Q2 合計点</t>
        </is>
      </c>
      <c r="Q25" s="24">
        <f>SUMIF(Q17:Q24,"&lt;&gt;—")</f>
        <v/>
      </c>
    </row>
    <row r="26" ht="4" customHeight="1"/>
    <row r="27" ht="18" customHeight="1">
      <c r="A27" s="26" t="inlineStr">
        <is>
          <t>【Q3】 5月〜7月</t>
        </is>
      </c>
    </row>
    <row r="28" ht="28" customHeight="1">
      <c r="A28" s="11" t="inlineStr">
        <is>
          <t>評価項目</t>
        </is>
      </c>
      <c r="B28" s="11" t="inlineStr">
        <is>
          <t>重み</t>
        </is>
      </c>
      <c r="C28" s="11" t="inlineStr">
        <is>
          <t>基0</t>
        </is>
      </c>
      <c r="D28" s="11" t="inlineStr">
        <is>
          <t>基10</t>
        </is>
      </c>
      <c r="E28" s="11" t="inlineStr">
        <is>
          <t>基20</t>
        </is>
      </c>
      <c r="F28" s="11" t="inlineStr">
        <is>
          <t>基30</t>
        </is>
      </c>
      <c r="G28" s="11" t="inlineStr">
        <is>
          <t>基40</t>
        </is>
      </c>
      <c r="H28" s="11" t="inlineStr">
        <is>
          <t>基50</t>
        </is>
      </c>
      <c r="I28" s="11" t="inlineStr">
        <is>
          <t>基60</t>
        </is>
      </c>
      <c r="J28" s="11" t="inlineStr">
        <is>
          <t>基70</t>
        </is>
      </c>
      <c r="K28" s="11" t="inlineStr">
        <is>
          <t>基80</t>
        </is>
      </c>
      <c r="L28" s="11" t="inlineStr">
        <is>
          <t>基90</t>
        </is>
      </c>
      <c r="M28" s="11" t="inlineStr">
        <is>
          <t>基100</t>
        </is>
      </c>
      <c r="N28" s="11" t="inlineStr">
        <is>
          <t>単位</t>
        </is>
      </c>
      <c r="O28" s="11" t="inlineStr">
        <is>
          <t>結果(入力)</t>
        </is>
      </c>
      <c r="P28" s="11" t="inlineStr">
        <is>
          <t>尺度結果</t>
        </is>
      </c>
      <c r="Q28" s="11" t="inlineStr">
        <is>
          <t>重み×尺度</t>
        </is>
      </c>
    </row>
    <row r="29" ht="30" customHeight="1">
      <c r="A29" s="18" t="inlineStr">
        <is>
          <t>目標①</t>
        </is>
      </c>
      <c r="B29" s="19" t="inlineStr">
        <is>
          <t>加点</t>
        </is>
      </c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0" t="inlineStr"/>
      <c r="L29" s="20" t="inlineStr"/>
      <c r="M29" s="20" t="inlineStr"/>
      <c r="N29" s="21" t="inlineStr"/>
      <c r="O29" s="16" t="n"/>
      <c r="P29" s="16" t="n"/>
      <c r="Q29" s="22" t="inlineStr">
        <is>
          <t>—</t>
        </is>
      </c>
    </row>
    <row r="30" ht="30" customHeight="1">
      <c r="A30" s="18" t="inlineStr">
        <is>
          <t>目標②</t>
        </is>
      </c>
      <c r="B30" s="19" t="inlineStr">
        <is>
          <t>加点</t>
        </is>
      </c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0" t="inlineStr"/>
      <c r="L30" s="20" t="inlineStr"/>
      <c r="M30" s="20" t="inlineStr"/>
      <c r="N30" s="21" t="inlineStr"/>
      <c r="O30" s="16" t="n"/>
      <c r="P30" s="16" t="n"/>
      <c r="Q30" s="22" t="inlineStr">
        <is>
          <t>—</t>
        </is>
      </c>
    </row>
    <row r="31" ht="30" customHeight="1">
      <c r="A31" s="18" t="inlineStr">
        <is>
          <t>目標③</t>
        </is>
      </c>
      <c r="B31" s="19" t="inlineStr">
        <is>
          <t>加点</t>
        </is>
      </c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1" t="inlineStr"/>
      <c r="O31" s="16" t="n"/>
      <c r="P31" s="16" t="n"/>
      <c r="Q31" s="22" t="inlineStr">
        <is>
          <t>—</t>
        </is>
      </c>
    </row>
    <row r="32" ht="30" customHeight="1">
      <c r="A32" s="18" t="inlineStr">
        <is>
          <t>【加点】加点項目</t>
        </is>
      </c>
      <c r="B32" s="19" t="inlineStr">
        <is>
          <t>加点</t>
        </is>
      </c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0" t="inlineStr"/>
      <c r="L32" s="20" t="inlineStr"/>
      <c r="M32" s="20" t="inlineStr"/>
      <c r="N32" s="21" t="inlineStr"/>
      <c r="O32" s="16" t="n"/>
      <c r="P32" s="16" t="n"/>
      <c r="Q32" s="22" t="inlineStr">
        <is>
          <t>—</t>
        </is>
      </c>
    </row>
    <row r="33" ht="20" customHeight="1"/>
    <row r="34" ht="20" customHeight="1"/>
    <row r="35" ht="20" customHeight="1"/>
    <row r="36" ht="20" customHeight="1"/>
    <row r="37" ht="20" customHeight="1">
      <c r="A37" s="23" t="inlineStr">
        <is>
          <t>Q3 合計点</t>
        </is>
      </c>
      <c r="Q37" s="24">
        <f>SUMIF(Q29:Q36,"&lt;&gt;—")</f>
        <v/>
      </c>
    </row>
    <row r="38" ht="4" customHeight="1"/>
    <row r="39" ht="18" customHeight="1">
      <c r="A39" s="27" t="inlineStr">
        <is>
          <t>【Q4】 8月〜10月</t>
        </is>
      </c>
    </row>
    <row r="40" ht="28" customHeight="1">
      <c r="A40" s="11" t="inlineStr">
        <is>
          <t>評価項目</t>
        </is>
      </c>
      <c r="B40" s="11" t="inlineStr">
        <is>
          <t>重み</t>
        </is>
      </c>
      <c r="C40" s="11" t="inlineStr">
        <is>
          <t>基0</t>
        </is>
      </c>
      <c r="D40" s="11" t="inlineStr">
        <is>
          <t>基10</t>
        </is>
      </c>
      <c r="E40" s="11" t="inlineStr">
        <is>
          <t>基20</t>
        </is>
      </c>
      <c r="F40" s="11" t="inlineStr">
        <is>
          <t>基30</t>
        </is>
      </c>
      <c r="G40" s="11" t="inlineStr">
        <is>
          <t>基40</t>
        </is>
      </c>
      <c r="H40" s="11" t="inlineStr">
        <is>
          <t>基50</t>
        </is>
      </c>
      <c r="I40" s="11" t="inlineStr">
        <is>
          <t>基60</t>
        </is>
      </c>
      <c r="J40" s="11" t="inlineStr">
        <is>
          <t>基70</t>
        </is>
      </c>
      <c r="K40" s="11" t="inlineStr">
        <is>
          <t>基80</t>
        </is>
      </c>
      <c r="L40" s="11" t="inlineStr">
        <is>
          <t>基90</t>
        </is>
      </c>
      <c r="M40" s="11" t="inlineStr">
        <is>
          <t>基100</t>
        </is>
      </c>
      <c r="N40" s="11" t="inlineStr">
        <is>
          <t>単位</t>
        </is>
      </c>
      <c r="O40" s="11" t="inlineStr">
        <is>
          <t>結果(入力)</t>
        </is>
      </c>
      <c r="P40" s="11" t="inlineStr">
        <is>
          <t>尺度結果</t>
        </is>
      </c>
      <c r="Q40" s="11" t="inlineStr">
        <is>
          <t>重み×尺度</t>
        </is>
      </c>
    </row>
    <row r="41" ht="30" customHeight="1">
      <c r="A41" s="18" t="inlineStr">
        <is>
          <t>目標①</t>
        </is>
      </c>
      <c r="B41" s="19" t="inlineStr">
        <is>
          <t>加点</t>
        </is>
      </c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0" t="inlineStr"/>
      <c r="L41" s="20" t="inlineStr"/>
      <c r="M41" s="20" t="inlineStr"/>
      <c r="N41" s="21" t="inlineStr"/>
      <c r="O41" s="16" t="n"/>
      <c r="P41" s="16" t="n"/>
      <c r="Q41" s="22" t="inlineStr">
        <is>
          <t>—</t>
        </is>
      </c>
    </row>
    <row r="42" ht="30" customHeight="1">
      <c r="A42" s="18" t="inlineStr">
        <is>
          <t>目標②</t>
        </is>
      </c>
      <c r="B42" s="19" t="inlineStr">
        <is>
          <t>加点</t>
        </is>
      </c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0" t="inlineStr"/>
      <c r="L42" s="20" t="inlineStr"/>
      <c r="M42" s="20" t="inlineStr"/>
      <c r="N42" s="21" t="inlineStr"/>
      <c r="O42" s="16" t="n"/>
      <c r="P42" s="16" t="n"/>
      <c r="Q42" s="22" t="inlineStr">
        <is>
          <t>—</t>
        </is>
      </c>
    </row>
    <row r="43" ht="30" customHeight="1">
      <c r="A43" s="18" t="inlineStr">
        <is>
          <t>目標③</t>
        </is>
      </c>
      <c r="B43" s="19" t="inlineStr">
        <is>
          <t>加点</t>
        </is>
      </c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0" t="inlineStr"/>
      <c r="L43" s="20" t="inlineStr"/>
      <c r="M43" s="20" t="inlineStr"/>
      <c r="N43" s="21" t="inlineStr"/>
      <c r="O43" s="16" t="n"/>
      <c r="P43" s="16" t="n"/>
      <c r="Q43" s="22" t="inlineStr">
        <is>
          <t>—</t>
        </is>
      </c>
    </row>
    <row r="44" ht="30" customHeight="1">
      <c r="A44" s="18" t="inlineStr">
        <is>
          <t>【加点】加点項目</t>
        </is>
      </c>
      <c r="B44" s="19" t="inlineStr">
        <is>
          <t>加点</t>
        </is>
      </c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0" t="inlineStr"/>
      <c r="L44" s="20" t="inlineStr"/>
      <c r="M44" s="20" t="inlineStr"/>
      <c r="N44" s="21" t="inlineStr"/>
      <c r="O44" s="16" t="n"/>
      <c r="P44" s="16" t="n"/>
      <c r="Q44" s="22" t="inlineStr">
        <is>
          <t>—</t>
        </is>
      </c>
    </row>
    <row r="45" ht="20" customHeight="1"/>
    <row r="46" ht="20" customHeight="1"/>
    <row r="47" ht="20" customHeight="1"/>
    <row r="48" ht="20" customHeight="1"/>
    <row r="49" ht="20" customHeight="1">
      <c r="A49" s="23" t="inlineStr">
        <is>
          <t>Q4 合計点</t>
        </is>
      </c>
      <c r="Q49" s="24">
        <f>SUMIF(Q41:Q48,"&lt;&gt;—")</f>
        <v/>
      </c>
    </row>
    <row r="50" ht="4" customHeight="1"/>
    <row r="51" ht="4" customHeight="1"/>
    <row r="52" ht="20" customHeight="1">
      <c r="A52" s="28" t="inlineStr">
        <is>
          <t>上半期合計（Q1＋Q2）</t>
        </is>
      </c>
      <c r="Q52" s="29">
        <f>Q13+Q25</f>
        <v/>
      </c>
    </row>
    <row r="53" ht="20" customHeight="1">
      <c r="A53" s="28" t="inlineStr">
        <is>
          <t>下半期合計（Q3＋Q4）</t>
        </is>
      </c>
      <c r="Q53" s="29">
        <f>Q37+Q49</f>
        <v/>
      </c>
    </row>
  </sheetData>
  <mergeCells count="11">
    <mergeCell ref="A49:P49"/>
    <mergeCell ref="A13:P13"/>
    <mergeCell ref="A25:P25"/>
    <mergeCell ref="A3:Q3"/>
    <mergeCell ref="A27:Q27"/>
    <mergeCell ref="A39:Q39"/>
    <mergeCell ref="A37:P37"/>
    <mergeCell ref="A53:P53"/>
    <mergeCell ref="A15:Q15"/>
    <mergeCell ref="A52:P52"/>
    <mergeCell ref="A1:Q1"/>
  </mergeCells>
  <dataValidations count="4">
    <dataValidation sqref="P5 P6 P7 P8 P9 P10 P11 P12" showDropDown="0" showInputMessage="0" showErrorMessage="0" allowBlank="1" type="list">
      <formula1>"0,10,20,30,40,50,60,70,80,90,100"</formula1>
    </dataValidation>
    <dataValidation sqref="P17 P18 P19 P20 P21 P22 P23 P24" showDropDown="0" showInputMessage="0" showErrorMessage="0" allowBlank="1" type="list">
      <formula1>"0,10,20,30,40,50,60,70,80,90,100"</formula1>
    </dataValidation>
    <dataValidation sqref="P29 P30 P31 P32 P33 P34 P35 P36" showDropDown="0" showInputMessage="0" showErrorMessage="0" allowBlank="1" type="list">
      <formula1>"0,10,20,30,40,50,60,70,80,90,100"</formula1>
    </dataValidation>
    <dataValidation sqref="P41 P42 P43 P44 P45 P46 P47 P48" showDropDown="0" showInputMessage="0" showErrorMessage="0" allowBlank="1" type="list">
      <formula1>"0,10,20,30,40,50,60,70,80,90,100"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9" t="inlineStr">
        <is>
          <t>【分析表】Q1分析（11月〜1月）</t>
        </is>
      </c>
    </row>
    <row r="2" ht="26" customHeight="1">
      <c r="A2" s="30" t="inlineStr">
        <is>
          <t>氏名</t>
        </is>
      </c>
      <c r="B2" s="30" t="inlineStr">
        <is>
          <t>部署</t>
        </is>
      </c>
      <c r="C2" s="30" t="inlineStr">
        <is>
          <t>役職</t>
        </is>
      </c>
      <c r="D2" s="31" t="inlineStr">
        <is>
          <t>Q1
11月〜1月</t>
        </is>
      </c>
      <c r="E2" s="30" t="inlineStr">
        <is>
          <t>順位</t>
        </is>
      </c>
    </row>
    <row r="3" ht="20" customHeight="1">
      <c r="A3" s="7" t="inlineStr">
        <is>
          <t>細田</t>
        </is>
      </c>
      <c r="B3" s="15" t="inlineStr">
        <is>
          <t>リーシング</t>
        </is>
      </c>
      <c r="C3" s="15" t="inlineStr">
        <is>
          <t>課長代理</t>
        </is>
      </c>
      <c r="D3" s="17">
        <f>'細田'!Q13</f>
        <v/>
      </c>
      <c r="E3" s="32" t="inlineStr">
        <is>
          <t>—</t>
        </is>
      </c>
      <c r="F3" s="7">
        <f>IFERROR(RANK(E3,E3:E29,0),"")</f>
        <v/>
      </c>
    </row>
    <row r="4" ht="20" customHeight="1">
      <c r="A4" s="7" t="inlineStr">
        <is>
          <t>本多</t>
        </is>
      </c>
      <c r="B4" s="15" t="inlineStr">
        <is>
          <t>リーシング</t>
        </is>
      </c>
      <c r="C4" s="15" t="inlineStr">
        <is>
          <t>一般</t>
        </is>
      </c>
      <c r="D4" s="17">
        <f>'本多'!Q13</f>
        <v/>
      </c>
      <c r="E4" s="32" t="inlineStr">
        <is>
          <t>—</t>
        </is>
      </c>
      <c r="F4" s="7">
        <f>IFERROR(RANK(E4,E3:E29,0),"")</f>
        <v/>
      </c>
    </row>
    <row r="5" ht="20" customHeight="1">
      <c r="A5" s="7" t="inlineStr">
        <is>
          <t>西村</t>
        </is>
      </c>
      <c r="B5" s="15" t="inlineStr">
        <is>
          <t>リーシング</t>
        </is>
      </c>
      <c r="C5" s="15" t="inlineStr">
        <is>
          <t>一般</t>
        </is>
      </c>
      <c r="D5" s="17">
        <f>'西村'!Q13</f>
        <v/>
      </c>
      <c r="E5" s="32" t="inlineStr">
        <is>
          <t>—</t>
        </is>
      </c>
      <c r="F5" s="7">
        <f>IFERROR(RANK(E5,E3:E29,0),"")</f>
        <v/>
      </c>
    </row>
    <row r="6" ht="20" customHeight="1">
      <c r="A6" s="7" t="inlineStr">
        <is>
          <t>村田</t>
        </is>
      </c>
      <c r="B6" s="15" t="inlineStr">
        <is>
          <t>リーシング</t>
        </is>
      </c>
      <c r="C6" s="15" t="inlineStr">
        <is>
          <t>一般</t>
        </is>
      </c>
      <c r="D6" s="17">
        <f>'村田'!Q13</f>
        <v/>
      </c>
      <c r="E6" s="32" t="inlineStr">
        <is>
          <t>—</t>
        </is>
      </c>
      <c r="F6" s="7">
        <f>IFERROR(RANK(E6,E3:E29,0),"")</f>
        <v/>
      </c>
    </row>
    <row r="7" ht="20" customHeight="1">
      <c r="A7" s="7" t="inlineStr">
        <is>
          <t>吉田</t>
        </is>
      </c>
      <c r="B7" s="15" t="inlineStr">
        <is>
          <t>リーシング</t>
        </is>
      </c>
      <c r="C7" s="15" t="inlineStr">
        <is>
          <t>一般</t>
        </is>
      </c>
      <c r="D7" s="17">
        <f>'吉田'!Q13</f>
        <v/>
      </c>
      <c r="E7" s="32" t="inlineStr">
        <is>
          <t>—</t>
        </is>
      </c>
      <c r="F7" s="7">
        <f>IFERROR(RANK(E7,E3:E29,0),"")</f>
        <v/>
      </c>
    </row>
    <row r="8" ht="20" customHeight="1">
      <c r="A8" s="7" t="inlineStr">
        <is>
          <t>LS新人①</t>
        </is>
      </c>
      <c r="B8" s="15" t="inlineStr">
        <is>
          <t>リーシング</t>
        </is>
      </c>
      <c r="C8" s="15" t="inlineStr">
        <is>
          <t>新人</t>
        </is>
      </c>
      <c r="D8" s="17">
        <f>'LS新人①'!Q13</f>
        <v/>
      </c>
      <c r="E8" s="32" t="inlineStr">
        <is>
          <t>—</t>
        </is>
      </c>
      <c r="F8" s="7">
        <f>IFERROR(RANK(E8,E3:E29,0),"")</f>
        <v/>
      </c>
    </row>
    <row r="9" ht="20" customHeight="1">
      <c r="A9" s="7" t="inlineStr">
        <is>
          <t>LS新人②</t>
        </is>
      </c>
      <c r="B9" s="15" t="inlineStr">
        <is>
          <t>リーシング</t>
        </is>
      </c>
      <c r="C9" s="15" t="inlineStr">
        <is>
          <t>新人</t>
        </is>
      </c>
      <c r="D9" s="17">
        <f>'LS新人②'!Q13</f>
        <v/>
      </c>
      <c r="E9" s="32" t="inlineStr">
        <is>
          <t>—</t>
        </is>
      </c>
      <c r="F9" s="7">
        <f>IFERROR(RANK(E9,E3:E29,0),"")</f>
        <v/>
      </c>
    </row>
    <row r="10" ht="20" customHeight="1">
      <c r="A10" s="7" t="inlineStr">
        <is>
          <t>奥村</t>
        </is>
      </c>
      <c r="B10" s="15" t="inlineStr">
        <is>
          <t>カスタマー</t>
        </is>
      </c>
      <c r="C10" s="15" t="inlineStr">
        <is>
          <t>課長代理</t>
        </is>
      </c>
      <c r="D10" s="17">
        <f>'奥村'!Q13</f>
        <v/>
      </c>
      <c r="E10" s="32" t="inlineStr">
        <is>
          <t>—</t>
        </is>
      </c>
      <c r="F10" s="7">
        <f>IFERROR(RANK(E10,E3:E29,0),"")</f>
        <v/>
      </c>
    </row>
    <row r="11" ht="20" customHeight="1">
      <c r="A11" s="7" t="inlineStr">
        <is>
          <t>CS新人①</t>
        </is>
      </c>
      <c r="B11" s="15" t="inlineStr">
        <is>
          <t>カスタマー</t>
        </is>
      </c>
      <c r="C11" s="15" t="inlineStr">
        <is>
          <t>新人</t>
        </is>
      </c>
      <c r="D11" s="17">
        <f>'CS新人①'!Q13</f>
        <v/>
      </c>
      <c r="E11" s="32" t="inlineStr">
        <is>
          <t>—</t>
        </is>
      </c>
      <c r="F11" s="7">
        <f>IFERROR(RANK(E11,E3:E29,0),"")</f>
        <v/>
      </c>
    </row>
    <row r="12" ht="20" customHeight="1">
      <c r="A12" s="7" t="inlineStr">
        <is>
          <t>CS新人②</t>
        </is>
      </c>
      <c r="B12" s="15" t="inlineStr">
        <is>
          <t>カスタマー</t>
        </is>
      </c>
      <c r="C12" s="15" t="inlineStr">
        <is>
          <t>新人</t>
        </is>
      </c>
      <c r="D12" s="17">
        <f>'CS新人②'!Q13</f>
        <v/>
      </c>
      <c r="E12" s="32" t="inlineStr">
        <is>
          <t>—</t>
        </is>
      </c>
      <c r="F12" s="7">
        <f>IFERROR(RANK(E12,E3:E29,0),"")</f>
        <v/>
      </c>
    </row>
    <row r="13" ht="20" customHeight="1">
      <c r="A13" s="7" t="inlineStr">
        <is>
          <t>野方</t>
        </is>
      </c>
      <c r="B13" s="15" t="inlineStr">
        <is>
          <t>経営企画</t>
        </is>
      </c>
      <c r="C13" s="15" t="inlineStr">
        <is>
          <t>課長</t>
        </is>
      </c>
      <c r="D13" s="17">
        <f>'野方'!Q13</f>
        <v/>
      </c>
      <c r="E13" s="32" t="inlineStr">
        <is>
          <t>—</t>
        </is>
      </c>
      <c r="F13" s="7">
        <f>IFERROR(RANK(E13,E3:E29,0),"")</f>
        <v/>
      </c>
    </row>
    <row r="14" ht="20" customHeight="1">
      <c r="A14" s="7" t="inlineStr">
        <is>
          <t>KK新人①</t>
        </is>
      </c>
      <c r="B14" s="15" t="inlineStr">
        <is>
          <t>経営企画</t>
        </is>
      </c>
      <c r="C14" s="15" t="inlineStr">
        <is>
          <t>新人</t>
        </is>
      </c>
      <c r="D14" s="17">
        <f>'KK新人①'!Q13</f>
        <v/>
      </c>
      <c r="E14" s="32" t="inlineStr">
        <is>
          <t>—</t>
        </is>
      </c>
      <c r="F14" s="7">
        <f>IFERROR(RANK(E14,E3:E29,0),"")</f>
        <v/>
      </c>
    </row>
    <row r="15" ht="20" customHeight="1">
      <c r="A15" s="7" t="inlineStr">
        <is>
          <t>KK新人②</t>
        </is>
      </c>
      <c r="B15" s="15" t="inlineStr">
        <is>
          <t>経営企画</t>
        </is>
      </c>
      <c r="C15" s="15" t="inlineStr">
        <is>
          <t>新人</t>
        </is>
      </c>
      <c r="D15" s="17">
        <f>'KK新人②'!Q13</f>
        <v/>
      </c>
      <c r="E15" s="32" t="inlineStr">
        <is>
          <t>—</t>
        </is>
      </c>
      <c r="F15" s="7">
        <f>IFERROR(RANK(E15,E3:E29,0),"")</f>
        <v/>
      </c>
    </row>
    <row r="16" ht="20" customHeight="1">
      <c r="A16" s="7" t="inlineStr">
        <is>
          <t>鹿山</t>
        </is>
      </c>
      <c r="B16" s="15" t="inlineStr">
        <is>
          <t>民泊課</t>
        </is>
      </c>
      <c r="C16" s="15" t="inlineStr">
        <is>
          <t>一般</t>
        </is>
      </c>
      <c r="D16" s="17">
        <f>'鹿山'!Q13</f>
        <v/>
      </c>
      <c r="E16" s="32" t="inlineStr">
        <is>
          <t>—</t>
        </is>
      </c>
      <c r="F16" s="7">
        <f>IFERROR(RANK(E16,E3:E29,0),"")</f>
        <v/>
      </c>
    </row>
    <row r="17" ht="20" customHeight="1">
      <c r="A17" s="7" t="inlineStr">
        <is>
          <t>虞</t>
        </is>
      </c>
      <c r="B17" s="15" t="inlineStr">
        <is>
          <t>民泊課</t>
        </is>
      </c>
      <c r="C17" s="15" t="inlineStr">
        <is>
          <t>一般</t>
        </is>
      </c>
      <c r="D17" s="17">
        <f>'虞'!Q13</f>
        <v/>
      </c>
      <c r="E17" s="32" t="inlineStr">
        <is>
          <t>—</t>
        </is>
      </c>
      <c r="F17" s="7">
        <f>IFERROR(RANK(E17,E3:E29,0),"")</f>
        <v/>
      </c>
    </row>
    <row r="18" ht="20" customHeight="1">
      <c r="A18" s="7" t="inlineStr">
        <is>
          <t>MB新人①</t>
        </is>
      </c>
      <c r="B18" s="15" t="inlineStr">
        <is>
          <t>民泊課</t>
        </is>
      </c>
      <c r="C18" s="15" t="inlineStr">
        <is>
          <t>新人</t>
        </is>
      </c>
      <c r="D18" s="17">
        <f>'MB新人①'!Q13</f>
        <v/>
      </c>
      <c r="E18" s="32" t="inlineStr">
        <is>
          <t>—</t>
        </is>
      </c>
      <c r="F18" s="7">
        <f>IFERROR(RANK(E18,E3:E29,0),"")</f>
        <v/>
      </c>
    </row>
    <row r="19" ht="20" customHeight="1">
      <c r="A19" s="7" t="inlineStr">
        <is>
          <t>MB新人②</t>
        </is>
      </c>
      <c r="B19" s="15" t="inlineStr">
        <is>
          <t>民泊課</t>
        </is>
      </c>
      <c r="C19" s="15" t="inlineStr">
        <is>
          <t>新人</t>
        </is>
      </c>
      <c r="D19" s="17">
        <f>'MB新人②'!Q13</f>
        <v/>
      </c>
      <c r="E19" s="32" t="inlineStr">
        <is>
          <t>—</t>
        </is>
      </c>
      <c r="F19" s="7">
        <f>IFERROR(RANK(E19,E3:E29,0),"")</f>
        <v/>
      </c>
    </row>
    <row r="20" ht="20" customHeight="1">
      <c r="A20" s="7" t="inlineStr">
        <is>
          <t>鬼崎</t>
        </is>
      </c>
      <c r="B20" s="15" t="inlineStr">
        <is>
          <t>総務管理</t>
        </is>
      </c>
      <c r="C20" s="15" t="inlineStr">
        <is>
          <t>課長</t>
        </is>
      </c>
      <c r="D20" s="17">
        <f>'鬼崎'!Q13</f>
        <v/>
      </c>
      <c r="E20" s="32" t="inlineStr">
        <is>
          <t>—</t>
        </is>
      </c>
      <c r="F20" s="7">
        <f>IFERROR(RANK(E20,E3:E29,0),"")</f>
        <v/>
      </c>
    </row>
    <row r="21" ht="20" customHeight="1">
      <c r="A21" s="7" t="inlineStr">
        <is>
          <t>池田</t>
        </is>
      </c>
      <c r="B21" s="15" t="inlineStr">
        <is>
          <t>総務管理</t>
        </is>
      </c>
      <c r="C21" s="15" t="inlineStr">
        <is>
          <t>主任</t>
        </is>
      </c>
      <c r="D21" s="17">
        <f>'池田'!Q13</f>
        <v/>
      </c>
      <c r="E21" s="32" t="inlineStr">
        <is>
          <t>—</t>
        </is>
      </c>
      <c r="F21" s="7">
        <f>IFERROR(RANK(E21,E3:E29,0),"")</f>
        <v/>
      </c>
    </row>
    <row r="22" ht="20" customHeight="1">
      <c r="A22" s="7" t="inlineStr">
        <is>
          <t>田尻</t>
        </is>
      </c>
      <c r="B22" s="15" t="inlineStr">
        <is>
          <t>総務管理</t>
        </is>
      </c>
      <c r="C22" s="15" t="inlineStr">
        <is>
          <t>一般</t>
        </is>
      </c>
      <c r="D22" s="17">
        <f>'田尻'!Q13</f>
        <v/>
      </c>
      <c r="E22" s="32" t="inlineStr">
        <is>
          <t>—</t>
        </is>
      </c>
      <c r="F22" s="7">
        <f>IFERROR(RANK(E22,E3:E29,0),"")</f>
        <v/>
      </c>
    </row>
    <row r="23" ht="20" customHeight="1">
      <c r="A23" s="7" t="inlineStr">
        <is>
          <t>宮本</t>
        </is>
      </c>
      <c r="B23" s="15" t="inlineStr">
        <is>
          <t>総務管理</t>
        </is>
      </c>
      <c r="C23" s="15" t="inlineStr">
        <is>
          <t>一般</t>
        </is>
      </c>
      <c r="D23" s="17">
        <f>'宮本'!Q13</f>
        <v/>
      </c>
      <c r="E23" s="32" t="inlineStr">
        <is>
          <t>—</t>
        </is>
      </c>
      <c r="F23" s="7">
        <f>IFERROR(RANK(E23,E3:E29,0),"")</f>
        <v/>
      </c>
    </row>
    <row r="24" ht="20" customHeight="1">
      <c r="A24" s="7" t="inlineStr">
        <is>
          <t>松尾</t>
        </is>
      </c>
      <c r="B24" s="15" t="inlineStr">
        <is>
          <t>総務管理</t>
        </is>
      </c>
      <c r="C24" s="15" t="inlineStr">
        <is>
          <t>一般</t>
        </is>
      </c>
      <c r="D24" s="17">
        <f>'松尾'!Q13</f>
        <v/>
      </c>
      <c r="E24" s="32" t="inlineStr">
        <is>
          <t>—</t>
        </is>
      </c>
      <c r="F24" s="7">
        <f>IFERROR(RANK(E24,E3:E29,0),"")</f>
        <v/>
      </c>
    </row>
    <row r="25" ht="20" customHeight="1">
      <c r="A25" s="7" t="inlineStr">
        <is>
          <t>SZ新人①</t>
        </is>
      </c>
      <c r="B25" s="15" t="inlineStr">
        <is>
          <t>総務管理</t>
        </is>
      </c>
      <c r="C25" s="15" t="inlineStr">
        <is>
          <t>新人</t>
        </is>
      </c>
      <c r="D25" s="17">
        <f>'SZ新人①'!Q13</f>
        <v/>
      </c>
      <c r="E25" s="32" t="inlineStr">
        <is>
          <t>—</t>
        </is>
      </c>
      <c r="F25" s="7">
        <f>IFERROR(RANK(E25,E3:E29,0),"")</f>
        <v/>
      </c>
    </row>
    <row r="26" ht="20" customHeight="1">
      <c r="A26" s="7" t="inlineStr">
        <is>
          <t>SZ新人②</t>
        </is>
      </c>
      <c r="B26" s="15" t="inlineStr">
        <is>
          <t>総務管理</t>
        </is>
      </c>
      <c r="C26" s="15" t="inlineStr">
        <is>
          <t>新人</t>
        </is>
      </c>
      <c r="D26" s="17">
        <f>'SZ新人②'!Q13</f>
        <v/>
      </c>
      <c r="E26" s="32" t="inlineStr">
        <is>
          <t>—</t>
        </is>
      </c>
      <c r="F26" s="7">
        <f>IFERROR(RANK(E26,E3:E29,0),"")</f>
        <v/>
      </c>
    </row>
    <row r="27" ht="20" customHeight="1">
      <c r="A27" s="7" t="inlineStr">
        <is>
          <t>沖田</t>
        </is>
      </c>
      <c r="B27" s="15" t="inlineStr">
        <is>
          <t>管理推進</t>
        </is>
      </c>
      <c r="C27" s="15" t="inlineStr">
        <is>
          <t>一般</t>
        </is>
      </c>
      <c r="D27" s="17">
        <f>'沖田'!Q13</f>
        <v/>
      </c>
      <c r="E27" s="32" t="inlineStr">
        <is>
          <t>—</t>
        </is>
      </c>
      <c r="F27" s="7">
        <f>IFERROR(RANK(E27,E3:E29,0),"")</f>
        <v/>
      </c>
    </row>
    <row r="28" ht="20" customHeight="1">
      <c r="A28" s="7" t="inlineStr">
        <is>
          <t>KS新人①</t>
        </is>
      </c>
      <c r="B28" s="15" t="inlineStr">
        <is>
          <t>管理推進</t>
        </is>
      </c>
      <c r="C28" s="15" t="inlineStr">
        <is>
          <t>新人</t>
        </is>
      </c>
      <c r="D28" s="17">
        <f>'KS新人①'!Q13</f>
        <v/>
      </c>
      <c r="E28" s="32" t="inlineStr">
        <is>
          <t>—</t>
        </is>
      </c>
      <c r="F28" s="7">
        <f>IFERROR(RANK(E28,E3:E29,0),"")</f>
        <v/>
      </c>
    </row>
    <row r="29" ht="20" customHeight="1">
      <c r="A29" s="7" t="inlineStr">
        <is>
          <t>KS新人②</t>
        </is>
      </c>
      <c r="B29" s="15" t="inlineStr">
        <is>
          <t>管理推進</t>
        </is>
      </c>
      <c r="C29" s="15" t="inlineStr">
        <is>
          <t>新人</t>
        </is>
      </c>
      <c r="D29" s="17">
        <f>'KS新人②'!Q13</f>
        <v/>
      </c>
      <c r="E29" s="32" t="inlineStr">
        <is>
          <t>—</t>
        </is>
      </c>
      <c r="F29" s="7">
        <f>IFERROR(RANK(E29,E3:E29,0),"")</f>
        <v/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9" t="inlineStr">
        <is>
          <t>【分析表】Q2分析（2月〜4月）</t>
        </is>
      </c>
    </row>
    <row r="2" ht="26" customHeight="1">
      <c r="A2" s="30" t="inlineStr">
        <is>
          <t>氏名</t>
        </is>
      </c>
      <c r="B2" s="30" t="inlineStr">
        <is>
          <t>部署</t>
        </is>
      </c>
      <c r="C2" s="30" t="inlineStr">
        <is>
          <t>役職</t>
        </is>
      </c>
      <c r="D2" s="33" t="inlineStr">
        <is>
          <t>Q2
2月〜4月</t>
        </is>
      </c>
      <c r="E2" s="30" t="inlineStr">
        <is>
          <t>順位</t>
        </is>
      </c>
    </row>
    <row r="3" ht="20" customHeight="1">
      <c r="A3" s="7" t="inlineStr">
        <is>
          <t>細田</t>
        </is>
      </c>
      <c r="B3" s="15" t="inlineStr">
        <is>
          <t>リーシング</t>
        </is>
      </c>
      <c r="C3" s="15" t="inlineStr">
        <is>
          <t>課長代理</t>
        </is>
      </c>
      <c r="D3" s="17">
        <f>'細田'!Q25</f>
        <v/>
      </c>
      <c r="E3" s="32" t="inlineStr">
        <is>
          <t>—</t>
        </is>
      </c>
      <c r="F3" s="7">
        <f>IFERROR(RANK(E3,E3:E29,0),"")</f>
        <v/>
      </c>
    </row>
    <row r="4" ht="20" customHeight="1">
      <c r="A4" s="7" t="inlineStr">
        <is>
          <t>本多</t>
        </is>
      </c>
      <c r="B4" s="15" t="inlineStr">
        <is>
          <t>リーシング</t>
        </is>
      </c>
      <c r="C4" s="15" t="inlineStr">
        <is>
          <t>一般</t>
        </is>
      </c>
      <c r="D4" s="17">
        <f>'本多'!Q25</f>
        <v/>
      </c>
      <c r="E4" s="32" t="inlineStr">
        <is>
          <t>—</t>
        </is>
      </c>
      <c r="F4" s="7">
        <f>IFERROR(RANK(E4,E3:E29,0),"")</f>
        <v/>
      </c>
    </row>
    <row r="5" ht="20" customHeight="1">
      <c r="A5" s="7" t="inlineStr">
        <is>
          <t>西村</t>
        </is>
      </c>
      <c r="B5" s="15" t="inlineStr">
        <is>
          <t>リーシング</t>
        </is>
      </c>
      <c r="C5" s="15" t="inlineStr">
        <is>
          <t>一般</t>
        </is>
      </c>
      <c r="D5" s="17">
        <f>'西村'!Q25</f>
        <v/>
      </c>
      <c r="E5" s="32" t="inlineStr">
        <is>
          <t>—</t>
        </is>
      </c>
      <c r="F5" s="7">
        <f>IFERROR(RANK(E5,E3:E29,0),"")</f>
        <v/>
      </c>
    </row>
    <row r="6" ht="20" customHeight="1">
      <c r="A6" s="7" t="inlineStr">
        <is>
          <t>村田</t>
        </is>
      </c>
      <c r="B6" s="15" t="inlineStr">
        <is>
          <t>リーシング</t>
        </is>
      </c>
      <c r="C6" s="15" t="inlineStr">
        <is>
          <t>一般</t>
        </is>
      </c>
      <c r="D6" s="17">
        <f>'村田'!Q25</f>
        <v/>
      </c>
      <c r="E6" s="32" t="inlineStr">
        <is>
          <t>—</t>
        </is>
      </c>
      <c r="F6" s="7">
        <f>IFERROR(RANK(E6,E3:E29,0),"")</f>
        <v/>
      </c>
    </row>
    <row r="7" ht="20" customHeight="1">
      <c r="A7" s="7" t="inlineStr">
        <is>
          <t>吉田</t>
        </is>
      </c>
      <c r="B7" s="15" t="inlineStr">
        <is>
          <t>リーシング</t>
        </is>
      </c>
      <c r="C7" s="15" t="inlineStr">
        <is>
          <t>一般</t>
        </is>
      </c>
      <c r="D7" s="17">
        <f>'吉田'!Q25</f>
        <v/>
      </c>
      <c r="E7" s="32" t="inlineStr">
        <is>
          <t>—</t>
        </is>
      </c>
      <c r="F7" s="7">
        <f>IFERROR(RANK(E7,E3:E29,0),"")</f>
        <v/>
      </c>
    </row>
    <row r="8" ht="20" customHeight="1">
      <c r="A8" s="7" t="inlineStr">
        <is>
          <t>LS新人①</t>
        </is>
      </c>
      <c r="B8" s="15" t="inlineStr">
        <is>
          <t>リーシング</t>
        </is>
      </c>
      <c r="C8" s="15" t="inlineStr">
        <is>
          <t>新人</t>
        </is>
      </c>
      <c r="D8" s="17">
        <f>'LS新人①'!Q25</f>
        <v/>
      </c>
      <c r="E8" s="32" t="inlineStr">
        <is>
          <t>—</t>
        </is>
      </c>
      <c r="F8" s="7">
        <f>IFERROR(RANK(E8,E3:E29,0),"")</f>
        <v/>
      </c>
    </row>
    <row r="9" ht="20" customHeight="1">
      <c r="A9" s="7" t="inlineStr">
        <is>
          <t>LS新人②</t>
        </is>
      </c>
      <c r="B9" s="15" t="inlineStr">
        <is>
          <t>リーシング</t>
        </is>
      </c>
      <c r="C9" s="15" t="inlineStr">
        <is>
          <t>新人</t>
        </is>
      </c>
      <c r="D9" s="17">
        <f>'LS新人②'!Q25</f>
        <v/>
      </c>
      <c r="E9" s="32" t="inlineStr">
        <is>
          <t>—</t>
        </is>
      </c>
      <c r="F9" s="7">
        <f>IFERROR(RANK(E9,E3:E29,0),"")</f>
        <v/>
      </c>
    </row>
    <row r="10" ht="20" customHeight="1">
      <c r="A10" s="7" t="inlineStr">
        <is>
          <t>奥村</t>
        </is>
      </c>
      <c r="B10" s="15" t="inlineStr">
        <is>
          <t>カスタマー</t>
        </is>
      </c>
      <c r="C10" s="15" t="inlineStr">
        <is>
          <t>課長代理</t>
        </is>
      </c>
      <c r="D10" s="17">
        <f>'奥村'!Q25</f>
        <v/>
      </c>
      <c r="E10" s="32" t="inlineStr">
        <is>
          <t>—</t>
        </is>
      </c>
      <c r="F10" s="7">
        <f>IFERROR(RANK(E10,E3:E29,0),"")</f>
        <v/>
      </c>
    </row>
    <row r="11" ht="20" customHeight="1">
      <c r="A11" s="7" t="inlineStr">
        <is>
          <t>CS新人①</t>
        </is>
      </c>
      <c r="B11" s="15" t="inlineStr">
        <is>
          <t>カスタマー</t>
        </is>
      </c>
      <c r="C11" s="15" t="inlineStr">
        <is>
          <t>新人</t>
        </is>
      </c>
      <c r="D11" s="17">
        <f>'CS新人①'!Q25</f>
        <v/>
      </c>
      <c r="E11" s="32" t="inlineStr">
        <is>
          <t>—</t>
        </is>
      </c>
      <c r="F11" s="7">
        <f>IFERROR(RANK(E11,E3:E29,0),"")</f>
        <v/>
      </c>
    </row>
    <row r="12" ht="20" customHeight="1">
      <c r="A12" s="7" t="inlineStr">
        <is>
          <t>CS新人②</t>
        </is>
      </c>
      <c r="B12" s="15" t="inlineStr">
        <is>
          <t>カスタマー</t>
        </is>
      </c>
      <c r="C12" s="15" t="inlineStr">
        <is>
          <t>新人</t>
        </is>
      </c>
      <c r="D12" s="17">
        <f>'CS新人②'!Q25</f>
        <v/>
      </c>
      <c r="E12" s="32" t="inlineStr">
        <is>
          <t>—</t>
        </is>
      </c>
      <c r="F12" s="7">
        <f>IFERROR(RANK(E12,E3:E29,0),"")</f>
        <v/>
      </c>
    </row>
    <row r="13" ht="20" customHeight="1">
      <c r="A13" s="7" t="inlineStr">
        <is>
          <t>野方</t>
        </is>
      </c>
      <c r="B13" s="15" t="inlineStr">
        <is>
          <t>経営企画</t>
        </is>
      </c>
      <c r="C13" s="15" t="inlineStr">
        <is>
          <t>課長</t>
        </is>
      </c>
      <c r="D13" s="17">
        <f>'野方'!Q25</f>
        <v/>
      </c>
      <c r="E13" s="32" t="inlineStr">
        <is>
          <t>—</t>
        </is>
      </c>
      <c r="F13" s="7">
        <f>IFERROR(RANK(E13,E3:E29,0),"")</f>
        <v/>
      </c>
    </row>
    <row r="14" ht="20" customHeight="1">
      <c r="A14" s="7" t="inlineStr">
        <is>
          <t>KK新人①</t>
        </is>
      </c>
      <c r="B14" s="15" t="inlineStr">
        <is>
          <t>経営企画</t>
        </is>
      </c>
      <c r="C14" s="15" t="inlineStr">
        <is>
          <t>新人</t>
        </is>
      </c>
      <c r="D14" s="17">
        <f>'KK新人①'!Q25</f>
        <v/>
      </c>
      <c r="E14" s="32" t="inlineStr">
        <is>
          <t>—</t>
        </is>
      </c>
      <c r="F14" s="7">
        <f>IFERROR(RANK(E14,E3:E29,0),"")</f>
        <v/>
      </c>
    </row>
    <row r="15" ht="20" customHeight="1">
      <c r="A15" s="7" t="inlineStr">
        <is>
          <t>KK新人②</t>
        </is>
      </c>
      <c r="B15" s="15" t="inlineStr">
        <is>
          <t>経営企画</t>
        </is>
      </c>
      <c r="C15" s="15" t="inlineStr">
        <is>
          <t>新人</t>
        </is>
      </c>
      <c r="D15" s="17">
        <f>'KK新人②'!Q25</f>
        <v/>
      </c>
      <c r="E15" s="32" t="inlineStr">
        <is>
          <t>—</t>
        </is>
      </c>
      <c r="F15" s="7">
        <f>IFERROR(RANK(E15,E3:E29,0),"")</f>
        <v/>
      </c>
    </row>
    <row r="16" ht="20" customHeight="1">
      <c r="A16" s="7" t="inlineStr">
        <is>
          <t>鹿山</t>
        </is>
      </c>
      <c r="B16" s="15" t="inlineStr">
        <is>
          <t>民泊課</t>
        </is>
      </c>
      <c r="C16" s="15" t="inlineStr">
        <is>
          <t>一般</t>
        </is>
      </c>
      <c r="D16" s="17">
        <f>'鹿山'!Q25</f>
        <v/>
      </c>
      <c r="E16" s="32" t="inlineStr">
        <is>
          <t>—</t>
        </is>
      </c>
      <c r="F16" s="7">
        <f>IFERROR(RANK(E16,E3:E29,0),"")</f>
        <v/>
      </c>
    </row>
    <row r="17" ht="20" customHeight="1">
      <c r="A17" s="7" t="inlineStr">
        <is>
          <t>虞</t>
        </is>
      </c>
      <c r="B17" s="15" t="inlineStr">
        <is>
          <t>民泊課</t>
        </is>
      </c>
      <c r="C17" s="15" t="inlineStr">
        <is>
          <t>一般</t>
        </is>
      </c>
      <c r="D17" s="17">
        <f>'虞'!Q25</f>
        <v/>
      </c>
      <c r="E17" s="32" t="inlineStr">
        <is>
          <t>—</t>
        </is>
      </c>
      <c r="F17" s="7">
        <f>IFERROR(RANK(E17,E3:E29,0),"")</f>
        <v/>
      </c>
    </row>
    <row r="18" ht="20" customHeight="1">
      <c r="A18" s="7" t="inlineStr">
        <is>
          <t>MB新人①</t>
        </is>
      </c>
      <c r="B18" s="15" t="inlineStr">
        <is>
          <t>民泊課</t>
        </is>
      </c>
      <c r="C18" s="15" t="inlineStr">
        <is>
          <t>新人</t>
        </is>
      </c>
      <c r="D18" s="17">
        <f>'MB新人①'!Q25</f>
        <v/>
      </c>
      <c r="E18" s="32" t="inlineStr">
        <is>
          <t>—</t>
        </is>
      </c>
      <c r="F18" s="7">
        <f>IFERROR(RANK(E18,E3:E29,0),"")</f>
        <v/>
      </c>
    </row>
    <row r="19" ht="20" customHeight="1">
      <c r="A19" s="7" t="inlineStr">
        <is>
          <t>MB新人②</t>
        </is>
      </c>
      <c r="B19" s="15" t="inlineStr">
        <is>
          <t>民泊課</t>
        </is>
      </c>
      <c r="C19" s="15" t="inlineStr">
        <is>
          <t>新人</t>
        </is>
      </c>
      <c r="D19" s="17">
        <f>'MB新人②'!Q25</f>
        <v/>
      </c>
      <c r="E19" s="32" t="inlineStr">
        <is>
          <t>—</t>
        </is>
      </c>
      <c r="F19" s="7">
        <f>IFERROR(RANK(E19,E3:E29,0),"")</f>
        <v/>
      </c>
    </row>
    <row r="20" ht="20" customHeight="1">
      <c r="A20" s="7" t="inlineStr">
        <is>
          <t>鬼崎</t>
        </is>
      </c>
      <c r="B20" s="15" t="inlineStr">
        <is>
          <t>総務管理</t>
        </is>
      </c>
      <c r="C20" s="15" t="inlineStr">
        <is>
          <t>課長</t>
        </is>
      </c>
      <c r="D20" s="17">
        <f>'鬼崎'!Q25</f>
        <v/>
      </c>
      <c r="E20" s="32" t="inlineStr">
        <is>
          <t>—</t>
        </is>
      </c>
      <c r="F20" s="7">
        <f>IFERROR(RANK(E20,E3:E29,0),"")</f>
        <v/>
      </c>
    </row>
    <row r="21" ht="20" customHeight="1">
      <c r="A21" s="7" t="inlineStr">
        <is>
          <t>池田</t>
        </is>
      </c>
      <c r="B21" s="15" t="inlineStr">
        <is>
          <t>総務管理</t>
        </is>
      </c>
      <c r="C21" s="15" t="inlineStr">
        <is>
          <t>主任</t>
        </is>
      </c>
      <c r="D21" s="17">
        <f>'池田'!Q25</f>
        <v/>
      </c>
      <c r="E21" s="32" t="inlineStr">
        <is>
          <t>—</t>
        </is>
      </c>
      <c r="F21" s="7">
        <f>IFERROR(RANK(E21,E3:E29,0),"")</f>
        <v/>
      </c>
    </row>
    <row r="22" ht="20" customHeight="1">
      <c r="A22" s="7" t="inlineStr">
        <is>
          <t>田尻</t>
        </is>
      </c>
      <c r="B22" s="15" t="inlineStr">
        <is>
          <t>総務管理</t>
        </is>
      </c>
      <c r="C22" s="15" t="inlineStr">
        <is>
          <t>一般</t>
        </is>
      </c>
      <c r="D22" s="17">
        <f>'田尻'!Q25</f>
        <v/>
      </c>
      <c r="E22" s="32" t="inlineStr">
        <is>
          <t>—</t>
        </is>
      </c>
      <c r="F22" s="7">
        <f>IFERROR(RANK(E22,E3:E29,0),"")</f>
        <v/>
      </c>
    </row>
    <row r="23" ht="20" customHeight="1">
      <c r="A23" s="7" t="inlineStr">
        <is>
          <t>宮本</t>
        </is>
      </c>
      <c r="B23" s="15" t="inlineStr">
        <is>
          <t>総務管理</t>
        </is>
      </c>
      <c r="C23" s="15" t="inlineStr">
        <is>
          <t>一般</t>
        </is>
      </c>
      <c r="D23" s="17">
        <f>'宮本'!Q25</f>
        <v/>
      </c>
      <c r="E23" s="32" t="inlineStr">
        <is>
          <t>—</t>
        </is>
      </c>
      <c r="F23" s="7">
        <f>IFERROR(RANK(E23,E3:E29,0),"")</f>
        <v/>
      </c>
    </row>
    <row r="24" ht="20" customHeight="1">
      <c r="A24" s="7" t="inlineStr">
        <is>
          <t>松尾</t>
        </is>
      </c>
      <c r="B24" s="15" t="inlineStr">
        <is>
          <t>総務管理</t>
        </is>
      </c>
      <c r="C24" s="15" t="inlineStr">
        <is>
          <t>一般</t>
        </is>
      </c>
      <c r="D24" s="17">
        <f>'松尾'!Q25</f>
        <v/>
      </c>
      <c r="E24" s="32" t="inlineStr">
        <is>
          <t>—</t>
        </is>
      </c>
      <c r="F24" s="7">
        <f>IFERROR(RANK(E24,E3:E29,0),"")</f>
        <v/>
      </c>
    </row>
    <row r="25" ht="20" customHeight="1">
      <c r="A25" s="7" t="inlineStr">
        <is>
          <t>SZ新人①</t>
        </is>
      </c>
      <c r="B25" s="15" t="inlineStr">
        <is>
          <t>総務管理</t>
        </is>
      </c>
      <c r="C25" s="15" t="inlineStr">
        <is>
          <t>新人</t>
        </is>
      </c>
      <c r="D25" s="17">
        <f>'SZ新人①'!Q25</f>
        <v/>
      </c>
      <c r="E25" s="32" t="inlineStr">
        <is>
          <t>—</t>
        </is>
      </c>
      <c r="F25" s="7">
        <f>IFERROR(RANK(E25,E3:E29,0),"")</f>
        <v/>
      </c>
    </row>
    <row r="26" ht="20" customHeight="1">
      <c r="A26" s="7" t="inlineStr">
        <is>
          <t>SZ新人②</t>
        </is>
      </c>
      <c r="B26" s="15" t="inlineStr">
        <is>
          <t>総務管理</t>
        </is>
      </c>
      <c r="C26" s="15" t="inlineStr">
        <is>
          <t>新人</t>
        </is>
      </c>
      <c r="D26" s="17">
        <f>'SZ新人②'!Q25</f>
        <v/>
      </c>
      <c r="E26" s="32" t="inlineStr">
        <is>
          <t>—</t>
        </is>
      </c>
      <c r="F26" s="7">
        <f>IFERROR(RANK(E26,E3:E29,0),"")</f>
        <v/>
      </c>
    </row>
    <row r="27" ht="20" customHeight="1">
      <c r="A27" s="7" t="inlineStr">
        <is>
          <t>沖田</t>
        </is>
      </c>
      <c r="B27" s="15" t="inlineStr">
        <is>
          <t>管理推進</t>
        </is>
      </c>
      <c r="C27" s="15" t="inlineStr">
        <is>
          <t>一般</t>
        </is>
      </c>
      <c r="D27" s="17">
        <f>'沖田'!Q25</f>
        <v/>
      </c>
      <c r="E27" s="32" t="inlineStr">
        <is>
          <t>—</t>
        </is>
      </c>
      <c r="F27" s="7">
        <f>IFERROR(RANK(E27,E3:E29,0),"")</f>
        <v/>
      </c>
    </row>
    <row r="28" ht="20" customHeight="1">
      <c r="A28" s="7" t="inlineStr">
        <is>
          <t>KS新人①</t>
        </is>
      </c>
      <c r="B28" s="15" t="inlineStr">
        <is>
          <t>管理推進</t>
        </is>
      </c>
      <c r="C28" s="15" t="inlineStr">
        <is>
          <t>新人</t>
        </is>
      </c>
      <c r="D28" s="17">
        <f>'KS新人①'!Q25</f>
        <v/>
      </c>
      <c r="E28" s="32" t="inlineStr">
        <is>
          <t>—</t>
        </is>
      </c>
      <c r="F28" s="7">
        <f>IFERROR(RANK(E28,E3:E29,0),"")</f>
        <v/>
      </c>
    </row>
    <row r="29" ht="20" customHeight="1">
      <c r="A29" s="7" t="inlineStr">
        <is>
          <t>KS新人②</t>
        </is>
      </c>
      <c r="B29" s="15" t="inlineStr">
        <is>
          <t>管理推進</t>
        </is>
      </c>
      <c r="C29" s="15" t="inlineStr">
        <is>
          <t>新人</t>
        </is>
      </c>
      <c r="D29" s="17">
        <f>'KS新人②'!Q25</f>
        <v/>
      </c>
      <c r="E29" s="32" t="inlineStr">
        <is>
          <t>—</t>
        </is>
      </c>
      <c r="F29" s="7">
        <f>IFERROR(RANK(E29,E3:E29,0),"")</f>
        <v/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9" t="inlineStr">
        <is>
          <t>【分析表】Q3分析（5月〜7月）</t>
        </is>
      </c>
    </row>
    <row r="2" ht="26" customHeight="1">
      <c r="A2" s="30" t="inlineStr">
        <is>
          <t>氏名</t>
        </is>
      </c>
      <c r="B2" s="30" t="inlineStr">
        <is>
          <t>部署</t>
        </is>
      </c>
      <c r="C2" s="30" t="inlineStr">
        <is>
          <t>役職</t>
        </is>
      </c>
      <c r="D2" s="34" t="inlineStr">
        <is>
          <t>Q3
5月〜7月</t>
        </is>
      </c>
      <c r="E2" s="30" t="inlineStr">
        <is>
          <t>順位</t>
        </is>
      </c>
    </row>
    <row r="3" ht="20" customHeight="1">
      <c r="A3" s="7" t="inlineStr">
        <is>
          <t>細田</t>
        </is>
      </c>
      <c r="B3" s="15" t="inlineStr">
        <is>
          <t>リーシング</t>
        </is>
      </c>
      <c r="C3" s="15" t="inlineStr">
        <is>
          <t>課長代理</t>
        </is>
      </c>
      <c r="D3" s="17">
        <f>'細田'!Q37</f>
        <v/>
      </c>
      <c r="E3" s="32" t="inlineStr">
        <is>
          <t>—</t>
        </is>
      </c>
      <c r="F3" s="7">
        <f>IFERROR(RANK(E3,E3:E29,0),"")</f>
        <v/>
      </c>
    </row>
    <row r="4" ht="20" customHeight="1">
      <c r="A4" s="7" t="inlineStr">
        <is>
          <t>本多</t>
        </is>
      </c>
      <c r="B4" s="15" t="inlineStr">
        <is>
          <t>リーシング</t>
        </is>
      </c>
      <c r="C4" s="15" t="inlineStr">
        <is>
          <t>一般</t>
        </is>
      </c>
      <c r="D4" s="17">
        <f>'本多'!Q37</f>
        <v/>
      </c>
      <c r="E4" s="32" t="inlineStr">
        <is>
          <t>—</t>
        </is>
      </c>
      <c r="F4" s="7">
        <f>IFERROR(RANK(E4,E3:E29,0),"")</f>
        <v/>
      </c>
    </row>
    <row r="5" ht="20" customHeight="1">
      <c r="A5" s="7" t="inlineStr">
        <is>
          <t>西村</t>
        </is>
      </c>
      <c r="B5" s="15" t="inlineStr">
        <is>
          <t>リーシング</t>
        </is>
      </c>
      <c r="C5" s="15" t="inlineStr">
        <is>
          <t>一般</t>
        </is>
      </c>
      <c r="D5" s="17">
        <f>'西村'!Q37</f>
        <v/>
      </c>
      <c r="E5" s="32" t="inlineStr">
        <is>
          <t>—</t>
        </is>
      </c>
      <c r="F5" s="7">
        <f>IFERROR(RANK(E5,E3:E29,0),"")</f>
        <v/>
      </c>
    </row>
    <row r="6" ht="20" customHeight="1">
      <c r="A6" s="7" t="inlineStr">
        <is>
          <t>村田</t>
        </is>
      </c>
      <c r="B6" s="15" t="inlineStr">
        <is>
          <t>リーシング</t>
        </is>
      </c>
      <c r="C6" s="15" t="inlineStr">
        <is>
          <t>一般</t>
        </is>
      </c>
      <c r="D6" s="17">
        <f>'村田'!Q37</f>
        <v/>
      </c>
      <c r="E6" s="32" t="inlineStr">
        <is>
          <t>—</t>
        </is>
      </c>
      <c r="F6" s="7">
        <f>IFERROR(RANK(E6,E3:E29,0),"")</f>
        <v/>
      </c>
    </row>
    <row r="7" ht="20" customHeight="1">
      <c r="A7" s="7" t="inlineStr">
        <is>
          <t>吉田</t>
        </is>
      </c>
      <c r="B7" s="15" t="inlineStr">
        <is>
          <t>リーシング</t>
        </is>
      </c>
      <c r="C7" s="15" t="inlineStr">
        <is>
          <t>一般</t>
        </is>
      </c>
      <c r="D7" s="17">
        <f>'吉田'!Q37</f>
        <v/>
      </c>
      <c r="E7" s="32" t="inlineStr">
        <is>
          <t>—</t>
        </is>
      </c>
      <c r="F7" s="7">
        <f>IFERROR(RANK(E7,E3:E29,0),"")</f>
        <v/>
      </c>
    </row>
    <row r="8" ht="20" customHeight="1">
      <c r="A8" s="7" t="inlineStr">
        <is>
          <t>LS新人①</t>
        </is>
      </c>
      <c r="B8" s="15" t="inlineStr">
        <is>
          <t>リーシング</t>
        </is>
      </c>
      <c r="C8" s="15" t="inlineStr">
        <is>
          <t>新人</t>
        </is>
      </c>
      <c r="D8" s="17">
        <f>'LS新人①'!Q37</f>
        <v/>
      </c>
      <c r="E8" s="32" t="inlineStr">
        <is>
          <t>—</t>
        </is>
      </c>
      <c r="F8" s="7">
        <f>IFERROR(RANK(E8,E3:E29,0),"")</f>
        <v/>
      </c>
    </row>
    <row r="9" ht="20" customHeight="1">
      <c r="A9" s="7" t="inlineStr">
        <is>
          <t>LS新人②</t>
        </is>
      </c>
      <c r="B9" s="15" t="inlineStr">
        <is>
          <t>リーシング</t>
        </is>
      </c>
      <c r="C9" s="15" t="inlineStr">
        <is>
          <t>新人</t>
        </is>
      </c>
      <c r="D9" s="17">
        <f>'LS新人②'!Q37</f>
        <v/>
      </c>
      <c r="E9" s="32" t="inlineStr">
        <is>
          <t>—</t>
        </is>
      </c>
      <c r="F9" s="7">
        <f>IFERROR(RANK(E9,E3:E29,0),"")</f>
        <v/>
      </c>
    </row>
    <row r="10" ht="20" customHeight="1">
      <c r="A10" s="7" t="inlineStr">
        <is>
          <t>奥村</t>
        </is>
      </c>
      <c r="B10" s="15" t="inlineStr">
        <is>
          <t>カスタマー</t>
        </is>
      </c>
      <c r="C10" s="15" t="inlineStr">
        <is>
          <t>課長代理</t>
        </is>
      </c>
      <c r="D10" s="17">
        <f>'奥村'!Q37</f>
        <v/>
      </c>
      <c r="E10" s="32" t="inlineStr">
        <is>
          <t>—</t>
        </is>
      </c>
      <c r="F10" s="7">
        <f>IFERROR(RANK(E10,E3:E29,0),"")</f>
        <v/>
      </c>
    </row>
    <row r="11" ht="20" customHeight="1">
      <c r="A11" s="7" t="inlineStr">
        <is>
          <t>CS新人①</t>
        </is>
      </c>
      <c r="B11" s="15" t="inlineStr">
        <is>
          <t>カスタマー</t>
        </is>
      </c>
      <c r="C11" s="15" t="inlineStr">
        <is>
          <t>新人</t>
        </is>
      </c>
      <c r="D11" s="17">
        <f>'CS新人①'!Q37</f>
        <v/>
      </c>
      <c r="E11" s="32" t="inlineStr">
        <is>
          <t>—</t>
        </is>
      </c>
      <c r="F11" s="7">
        <f>IFERROR(RANK(E11,E3:E29,0),"")</f>
        <v/>
      </c>
    </row>
    <row r="12" ht="20" customHeight="1">
      <c r="A12" s="7" t="inlineStr">
        <is>
          <t>CS新人②</t>
        </is>
      </c>
      <c r="B12" s="15" t="inlineStr">
        <is>
          <t>カスタマー</t>
        </is>
      </c>
      <c r="C12" s="15" t="inlineStr">
        <is>
          <t>新人</t>
        </is>
      </c>
      <c r="D12" s="17">
        <f>'CS新人②'!Q37</f>
        <v/>
      </c>
      <c r="E12" s="32" t="inlineStr">
        <is>
          <t>—</t>
        </is>
      </c>
      <c r="F12" s="7">
        <f>IFERROR(RANK(E12,E3:E29,0),"")</f>
        <v/>
      </c>
    </row>
    <row r="13" ht="20" customHeight="1">
      <c r="A13" s="7" t="inlineStr">
        <is>
          <t>野方</t>
        </is>
      </c>
      <c r="B13" s="15" t="inlineStr">
        <is>
          <t>経営企画</t>
        </is>
      </c>
      <c r="C13" s="15" t="inlineStr">
        <is>
          <t>課長</t>
        </is>
      </c>
      <c r="D13" s="17">
        <f>'野方'!Q37</f>
        <v/>
      </c>
      <c r="E13" s="32" t="inlineStr">
        <is>
          <t>—</t>
        </is>
      </c>
      <c r="F13" s="7">
        <f>IFERROR(RANK(E13,E3:E29,0),"")</f>
        <v/>
      </c>
    </row>
    <row r="14" ht="20" customHeight="1">
      <c r="A14" s="7" t="inlineStr">
        <is>
          <t>KK新人①</t>
        </is>
      </c>
      <c r="B14" s="15" t="inlineStr">
        <is>
          <t>経営企画</t>
        </is>
      </c>
      <c r="C14" s="15" t="inlineStr">
        <is>
          <t>新人</t>
        </is>
      </c>
      <c r="D14" s="17">
        <f>'KK新人①'!Q37</f>
        <v/>
      </c>
      <c r="E14" s="32" t="inlineStr">
        <is>
          <t>—</t>
        </is>
      </c>
      <c r="F14" s="7">
        <f>IFERROR(RANK(E14,E3:E29,0),"")</f>
        <v/>
      </c>
    </row>
    <row r="15" ht="20" customHeight="1">
      <c r="A15" s="7" t="inlineStr">
        <is>
          <t>KK新人②</t>
        </is>
      </c>
      <c r="B15" s="15" t="inlineStr">
        <is>
          <t>経営企画</t>
        </is>
      </c>
      <c r="C15" s="15" t="inlineStr">
        <is>
          <t>新人</t>
        </is>
      </c>
      <c r="D15" s="17">
        <f>'KK新人②'!Q37</f>
        <v/>
      </c>
      <c r="E15" s="32" t="inlineStr">
        <is>
          <t>—</t>
        </is>
      </c>
      <c r="F15" s="7">
        <f>IFERROR(RANK(E15,E3:E29,0),"")</f>
        <v/>
      </c>
    </row>
    <row r="16" ht="20" customHeight="1">
      <c r="A16" s="7" t="inlineStr">
        <is>
          <t>鹿山</t>
        </is>
      </c>
      <c r="B16" s="15" t="inlineStr">
        <is>
          <t>民泊課</t>
        </is>
      </c>
      <c r="C16" s="15" t="inlineStr">
        <is>
          <t>一般</t>
        </is>
      </c>
      <c r="D16" s="17">
        <f>'鹿山'!Q37</f>
        <v/>
      </c>
      <c r="E16" s="32" t="inlineStr">
        <is>
          <t>—</t>
        </is>
      </c>
      <c r="F16" s="7">
        <f>IFERROR(RANK(E16,E3:E29,0),"")</f>
        <v/>
      </c>
    </row>
    <row r="17" ht="20" customHeight="1">
      <c r="A17" s="7" t="inlineStr">
        <is>
          <t>虞</t>
        </is>
      </c>
      <c r="B17" s="15" t="inlineStr">
        <is>
          <t>民泊課</t>
        </is>
      </c>
      <c r="C17" s="15" t="inlineStr">
        <is>
          <t>一般</t>
        </is>
      </c>
      <c r="D17" s="17">
        <f>'虞'!Q37</f>
        <v/>
      </c>
      <c r="E17" s="32" t="inlineStr">
        <is>
          <t>—</t>
        </is>
      </c>
      <c r="F17" s="7">
        <f>IFERROR(RANK(E17,E3:E29,0),"")</f>
        <v/>
      </c>
    </row>
    <row r="18" ht="20" customHeight="1">
      <c r="A18" s="7" t="inlineStr">
        <is>
          <t>MB新人①</t>
        </is>
      </c>
      <c r="B18" s="15" t="inlineStr">
        <is>
          <t>民泊課</t>
        </is>
      </c>
      <c r="C18" s="15" t="inlineStr">
        <is>
          <t>新人</t>
        </is>
      </c>
      <c r="D18" s="17">
        <f>'MB新人①'!Q37</f>
        <v/>
      </c>
      <c r="E18" s="32" t="inlineStr">
        <is>
          <t>—</t>
        </is>
      </c>
      <c r="F18" s="7">
        <f>IFERROR(RANK(E18,E3:E29,0),"")</f>
        <v/>
      </c>
    </row>
    <row r="19" ht="20" customHeight="1">
      <c r="A19" s="7" t="inlineStr">
        <is>
          <t>MB新人②</t>
        </is>
      </c>
      <c r="B19" s="15" t="inlineStr">
        <is>
          <t>民泊課</t>
        </is>
      </c>
      <c r="C19" s="15" t="inlineStr">
        <is>
          <t>新人</t>
        </is>
      </c>
      <c r="D19" s="17">
        <f>'MB新人②'!Q37</f>
        <v/>
      </c>
      <c r="E19" s="32" t="inlineStr">
        <is>
          <t>—</t>
        </is>
      </c>
      <c r="F19" s="7">
        <f>IFERROR(RANK(E19,E3:E29,0),"")</f>
        <v/>
      </c>
    </row>
    <row r="20" ht="20" customHeight="1">
      <c r="A20" s="7" t="inlineStr">
        <is>
          <t>鬼崎</t>
        </is>
      </c>
      <c r="B20" s="15" t="inlineStr">
        <is>
          <t>総務管理</t>
        </is>
      </c>
      <c r="C20" s="15" t="inlineStr">
        <is>
          <t>課長</t>
        </is>
      </c>
      <c r="D20" s="17">
        <f>'鬼崎'!Q37</f>
        <v/>
      </c>
      <c r="E20" s="32" t="inlineStr">
        <is>
          <t>—</t>
        </is>
      </c>
      <c r="F20" s="7">
        <f>IFERROR(RANK(E20,E3:E29,0),"")</f>
        <v/>
      </c>
    </row>
    <row r="21" ht="20" customHeight="1">
      <c r="A21" s="7" t="inlineStr">
        <is>
          <t>池田</t>
        </is>
      </c>
      <c r="B21" s="15" t="inlineStr">
        <is>
          <t>総務管理</t>
        </is>
      </c>
      <c r="C21" s="15" t="inlineStr">
        <is>
          <t>主任</t>
        </is>
      </c>
      <c r="D21" s="17">
        <f>'池田'!Q37</f>
        <v/>
      </c>
      <c r="E21" s="32" t="inlineStr">
        <is>
          <t>—</t>
        </is>
      </c>
      <c r="F21" s="7">
        <f>IFERROR(RANK(E21,E3:E29,0),"")</f>
        <v/>
      </c>
    </row>
    <row r="22" ht="20" customHeight="1">
      <c r="A22" s="7" t="inlineStr">
        <is>
          <t>田尻</t>
        </is>
      </c>
      <c r="B22" s="15" t="inlineStr">
        <is>
          <t>総務管理</t>
        </is>
      </c>
      <c r="C22" s="15" t="inlineStr">
        <is>
          <t>一般</t>
        </is>
      </c>
      <c r="D22" s="17">
        <f>'田尻'!Q37</f>
        <v/>
      </c>
      <c r="E22" s="32" t="inlineStr">
        <is>
          <t>—</t>
        </is>
      </c>
      <c r="F22" s="7">
        <f>IFERROR(RANK(E22,E3:E29,0),"")</f>
        <v/>
      </c>
    </row>
    <row r="23" ht="20" customHeight="1">
      <c r="A23" s="7" t="inlineStr">
        <is>
          <t>宮本</t>
        </is>
      </c>
      <c r="B23" s="15" t="inlineStr">
        <is>
          <t>総務管理</t>
        </is>
      </c>
      <c r="C23" s="15" t="inlineStr">
        <is>
          <t>一般</t>
        </is>
      </c>
      <c r="D23" s="17">
        <f>'宮本'!Q37</f>
        <v/>
      </c>
      <c r="E23" s="32" t="inlineStr">
        <is>
          <t>—</t>
        </is>
      </c>
      <c r="F23" s="7">
        <f>IFERROR(RANK(E23,E3:E29,0),"")</f>
        <v/>
      </c>
    </row>
    <row r="24" ht="20" customHeight="1">
      <c r="A24" s="7" t="inlineStr">
        <is>
          <t>松尾</t>
        </is>
      </c>
      <c r="B24" s="15" t="inlineStr">
        <is>
          <t>総務管理</t>
        </is>
      </c>
      <c r="C24" s="15" t="inlineStr">
        <is>
          <t>一般</t>
        </is>
      </c>
      <c r="D24" s="17">
        <f>'松尾'!Q37</f>
        <v/>
      </c>
      <c r="E24" s="32" t="inlineStr">
        <is>
          <t>—</t>
        </is>
      </c>
      <c r="F24" s="7">
        <f>IFERROR(RANK(E24,E3:E29,0),"")</f>
        <v/>
      </c>
    </row>
    <row r="25" ht="20" customHeight="1">
      <c r="A25" s="7" t="inlineStr">
        <is>
          <t>SZ新人①</t>
        </is>
      </c>
      <c r="B25" s="15" t="inlineStr">
        <is>
          <t>総務管理</t>
        </is>
      </c>
      <c r="C25" s="15" t="inlineStr">
        <is>
          <t>新人</t>
        </is>
      </c>
      <c r="D25" s="17">
        <f>'SZ新人①'!Q37</f>
        <v/>
      </c>
      <c r="E25" s="32" t="inlineStr">
        <is>
          <t>—</t>
        </is>
      </c>
      <c r="F25" s="7">
        <f>IFERROR(RANK(E25,E3:E29,0),"")</f>
        <v/>
      </c>
    </row>
    <row r="26" ht="20" customHeight="1">
      <c r="A26" s="7" t="inlineStr">
        <is>
          <t>SZ新人②</t>
        </is>
      </c>
      <c r="B26" s="15" t="inlineStr">
        <is>
          <t>総務管理</t>
        </is>
      </c>
      <c r="C26" s="15" t="inlineStr">
        <is>
          <t>新人</t>
        </is>
      </c>
      <c r="D26" s="17">
        <f>'SZ新人②'!Q37</f>
        <v/>
      </c>
      <c r="E26" s="32" t="inlineStr">
        <is>
          <t>—</t>
        </is>
      </c>
      <c r="F26" s="7">
        <f>IFERROR(RANK(E26,E3:E29,0),"")</f>
        <v/>
      </c>
    </row>
    <row r="27" ht="20" customHeight="1">
      <c r="A27" s="7" t="inlineStr">
        <is>
          <t>沖田</t>
        </is>
      </c>
      <c r="B27" s="15" t="inlineStr">
        <is>
          <t>管理推進</t>
        </is>
      </c>
      <c r="C27" s="15" t="inlineStr">
        <is>
          <t>一般</t>
        </is>
      </c>
      <c r="D27" s="17">
        <f>'沖田'!Q37</f>
        <v/>
      </c>
      <c r="E27" s="32" t="inlineStr">
        <is>
          <t>—</t>
        </is>
      </c>
      <c r="F27" s="7">
        <f>IFERROR(RANK(E27,E3:E29,0),"")</f>
        <v/>
      </c>
    </row>
    <row r="28" ht="20" customHeight="1">
      <c r="A28" s="7" t="inlineStr">
        <is>
          <t>KS新人①</t>
        </is>
      </c>
      <c r="B28" s="15" t="inlineStr">
        <is>
          <t>管理推進</t>
        </is>
      </c>
      <c r="C28" s="15" t="inlineStr">
        <is>
          <t>新人</t>
        </is>
      </c>
      <c r="D28" s="17">
        <f>'KS新人①'!Q37</f>
        <v/>
      </c>
      <c r="E28" s="32" t="inlineStr">
        <is>
          <t>—</t>
        </is>
      </c>
      <c r="F28" s="7">
        <f>IFERROR(RANK(E28,E3:E29,0),"")</f>
        <v/>
      </c>
    </row>
    <row r="29" ht="20" customHeight="1">
      <c r="A29" s="7" t="inlineStr">
        <is>
          <t>KS新人②</t>
        </is>
      </c>
      <c r="B29" s="15" t="inlineStr">
        <is>
          <t>管理推進</t>
        </is>
      </c>
      <c r="C29" s="15" t="inlineStr">
        <is>
          <t>新人</t>
        </is>
      </c>
      <c r="D29" s="17">
        <f>'KS新人②'!Q37</f>
        <v/>
      </c>
      <c r="E29" s="32" t="inlineStr">
        <is>
          <t>—</t>
        </is>
      </c>
      <c r="F29" s="7">
        <f>IFERROR(RANK(E29,E3:E29,0),"")</f>
        <v/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9" t="inlineStr">
        <is>
          <t>【分析表】Q4分析（8月〜10月）</t>
        </is>
      </c>
    </row>
    <row r="2" ht="26" customHeight="1">
      <c r="A2" s="30" t="inlineStr">
        <is>
          <t>氏名</t>
        </is>
      </c>
      <c r="B2" s="30" t="inlineStr">
        <is>
          <t>部署</t>
        </is>
      </c>
      <c r="C2" s="30" t="inlineStr">
        <is>
          <t>役職</t>
        </is>
      </c>
      <c r="D2" s="35" t="inlineStr">
        <is>
          <t>Q4
8月〜10月</t>
        </is>
      </c>
      <c r="E2" s="30" t="inlineStr">
        <is>
          <t>順位</t>
        </is>
      </c>
    </row>
    <row r="3" ht="20" customHeight="1">
      <c r="A3" s="7" t="inlineStr">
        <is>
          <t>細田</t>
        </is>
      </c>
      <c r="B3" s="15" t="inlineStr">
        <is>
          <t>リーシング</t>
        </is>
      </c>
      <c r="C3" s="15" t="inlineStr">
        <is>
          <t>課長代理</t>
        </is>
      </c>
      <c r="D3" s="17">
        <f>'細田'!Q49</f>
        <v/>
      </c>
      <c r="E3" s="32" t="inlineStr">
        <is>
          <t>—</t>
        </is>
      </c>
      <c r="F3" s="7">
        <f>IFERROR(RANK(E3,E3:E29,0),"")</f>
        <v/>
      </c>
    </row>
    <row r="4" ht="20" customHeight="1">
      <c r="A4" s="7" t="inlineStr">
        <is>
          <t>本多</t>
        </is>
      </c>
      <c r="B4" s="15" t="inlineStr">
        <is>
          <t>リーシング</t>
        </is>
      </c>
      <c r="C4" s="15" t="inlineStr">
        <is>
          <t>一般</t>
        </is>
      </c>
      <c r="D4" s="17">
        <f>'本多'!Q49</f>
        <v/>
      </c>
      <c r="E4" s="32" t="inlineStr">
        <is>
          <t>—</t>
        </is>
      </c>
      <c r="F4" s="7">
        <f>IFERROR(RANK(E4,E3:E29,0),"")</f>
        <v/>
      </c>
    </row>
    <row r="5" ht="20" customHeight="1">
      <c r="A5" s="7" t="inlineStr">
        <is>
          <t>西村</t>
        </is>
      </c>
      <c r="B5" s="15" t="inlineStr">
        <is>
          <t>リーシング</t>
        </is>
      </c>
      <c r="C5" s="15" t="inlineStr">
        <is>
          <t>一般</t>
        </is>
      </c>
      <c r="D5" s="17">
        <f>'西村'!Q49</f>
        <v/>
      </c>
      <c r="E5" s="32" t="inlineStr">
        <is>
          <t>—</t>
        </is>
      </c>
      <c r="F5" s="7">
        <f>IFERROR(RANK(E5,E3:E29,0),"")</f>
        <v/>
      </c>
    </row>
    <row r="6" ht="20" customHeight="1">
      <c r="A6" s="7" t="inlineStr">
        <is>
          <t>村田</t>
        </is>
      </c>
      <c r="B6" s="15" t="inlineStr">
        <is>
          <t>リーシング</t>
        </is>
      </c>
      <c r="C6" s="15" t="inlineStr">
        <is>
          <t>一般</t>
        </is>
      </c>
      <c r="D6" s="17">
        <f>'村田'!Q49</f>
        <v/>
      </c>
      <c r="E6" s="32" t="inlineStr">
        <is>
          <t>—</t>
        </is>
      </c>
      <c r="F6" s="7">
        <f>IFERROR(RANK(E6,E3:E29,0),"")</f>
        <v/>
      </c>
    </row>
    <row r="7" ht="20" customHeight="1">
      <c r="A7" s="7" t="inlineStr">
        <is>
          <t>吉田</t>
        </is>
      </c>
      <c r="B7" s="15" t="inlineStr">
        <is>
          <t>リーシング</t>
        </is>
      </c>
      <c r="C7" s="15" t="inlineStr">
        <is>
          <t>一般</t>
        </is>
      </c>
      <c r="D7" s="17">
        <f>'吉田'!Q49</f>
        <v/>
      </c>
      <c r="E7" s="32" t="inlineStr">
        <is>
          <t>—</t>
        </is>
      </c>
      <c r="F7" s="7">
        <f>IFERROR(RANK(E7,E3:E29,0),"")</f>
        <v/>
      </c>
    </row>
    <row r="8" ht="20" customHeight="1">
      <c r="A8" s="7" t="inlineStr">
        <is>
          <t>LS新人①</t>
        </is>
      </c>
      <c r="B8" s="15" t="inlineStr">
        <is>
          <t>リーシング</t>
        </is>
      </c>
      <c r="C8" s="15" t="inlineStr">
        <is>
          <t>新人</t>
        </is>
      </c>
      <c r="D8" s="17">
        <f>'LS新人①'!Q49</f>
        <v/>
      </c>
      <c r="E8" s="32" t="inlineStr">
        <is>
          <t>—</t>
        </is>
      </c>
      <c r="F8" s="7">
        <f>IFERROR(RANK(E8,E3:E29,0),"")</f>
        <v/>
      </c>
    </row>
    <row r="9" ht="20" customHeight="1">
      <c r="A9" s="7" t="inlineStr">
        <is>
          <t>LS新人②</t>
        </is>
      </c>
      <c r="B9" s="15" t="inlineStr">
        <is>
          <t>リーシング</t>
        </is>
      </c>
      <c r="C9" s="15" t="inlineStr">
        <is>
          <t>新人</t>
        </is>
      </c>
      <c r="D9" s="17">
        <f>'LS新人②'!Q49</f>
        <v/>
      </c>
      <c r="E9" s="32" t="inlineStr">
        <is>
          <t>—</t>
        </is>
      </c>
      <c r="F9" s="7">
        <f>IFERROR(RANK(E9,E3:E29,0),"")</f>
        <v/>
      </c>
    </row>
    <row r="10" ht="20" customHeight="1">
      <c r="A10" s="7" t="inlineStr">
        <is>
          <t>奥村</t>
        </is>
      </c>
      <c r="B10" s="15" t="inlineStr">
        <is>
          <t>カスタマー</t>
        </is>
      </c>
      <c r="C10" s="15" t="inlineStr">
        <is>
          <t>課長代理</t>
        </is>
      </c>
      <c r="D10" s="17">
        <f>'奥村'!Q49</f>
        <v/>
      </c>
      <c r="E10" s="32" t="inlineStr">
        <is>
          <t>—</t>
        </is>
      </c>
      <c r="F10" s="7">
        <f>IFERROR(RANK(E10,E3:E29,0),"")</f>
        <v/>
      </c>
    </row>
    <row r="11" ht="20" customHeight="1">
      <c r="A11" s="7" t="inlineStr">
        <is>
          <t>CS新人①</t>
        </is>
      </c>
      <c r="B11" s="15" t="inlineStr">
        <is>
          <t>カスタマー</t>
        </is>
      </c>
      <c r="C11" s="15" t="inlineStr">
        <is>
          <t>新人</t>
        </is>
      </c>
      <c r="D11" s="17">
        <f>'CS新人①'!Q49</f>
        <v/>
      </c>
      <c r="E11" s="32" t="inlineStr">
        <is>
          <t>—</t>
        </is>
      </c>
      <c r="F11" s="7">
        <f>IFERROR(RANK(E11,E3:E29,0),"")</f>
        <v/>
      </c>
    </row>
    <row r="12" ht="20" customHeight="1">
      <c r="A12" s="7" t="inlineStr">
        <is>
          <t>CS新人②</t>
        </is>
      </c>
      <c r="B12" s="15" t="inlineStr">
        <is>
          <t>カスタマー</t>
        </is>
      </c>
      <c r="C12" s="15" t="inlineStr">
        <is>
          <t>新人</t>
        </is>
      </c>
      <c r="D12" s="17">
        <f>'CS新人②'!Q49</f>
        <v/>
      </c>
      <c r="E12" s="32" t="inlineStr">
        <is>
          <t>—</t>
        </is>
      </c>
      <c r="F12" s="7">
        <f>IFERROR(RANK(E12,E3:E29,0),"")</f>
        <v/>
      </c>
    </row>
    <row r="13" ht="20" customHeight="1">
      <c r="A13" s="7" t="inlineStr">
        <is>
          <t>野方</t>
        </is>
      </c>
      <c r="B13" s="15" t="inlineStr">
        <is>
          <t>経営企画</t>
        </is>
      </c>
      <c r="C13" s="15" t="inlineStr">
        <is>
          <t>課長</t>
        </is>
      </c>
      <c r="D13" s="17">
        <f>'野方'!Q49</f>
        <v/>
      </c>
      <c r="E13" s="32" t="inlineStr">
        <is>
          <t>—</t>
        </is>
      </c>
      <c r="F13" s="7">
        <f>IFERROR(RANK(E13,E3:E29,0),"")</f>
        <v/>
      </c>
    </row>
    <row r="14" ht="20" customHeight="1">
      <c r="A14" s="7" t="inlineStr">
        <is>
          <t>KK新人①</t>
        </is>
      </c>
      <c r="B14" s="15" t="inlineStr">
        <is>
          <t>経営企画</t>
        </is>
      </c>
      <c r="C14" s="15" t="inlineStr">
        <is>
          <t>新人</t>
        </is>
      </c>
      <c r="D14" s="17">
        <f>'KK新人①'!Q49</f>
        <v/>
      </c>
      <c r="E14" s="32" t="inlineStr">
        <is>
          <t>—</t>
        </is>
      </c>
      <c r="F14" s="7">
        <f>IFERROR(RANK(E14,E3:E29,0),"")</f>
        <v/>
      </c>
    </row>
    <row r="15" ht="20" customHeight="1">
      <c r="A15" s="7" t="inlineStr">
        <is>
          <t>KK新人②</t>
        </is>
      </c>
      <c r="B15" s="15" t="inlineStr">
        <is>
          <t>経営企画</t>
        </is>
      </c>
      <c r="C15" s="15" t="inlineStr">
        <is>
          <t>新人</t>
        </is>
      </c>
      <c r="D15" s="17">
        <f>'KK新人②'!Q49</f>
        <v/>
      </c>
      <c r="E15" s="32" t="inlineStr">
        <is>
          <t>—</t>
        </is>
      </c>
      <c r="F15" s="7">
        <f>IFERROR(RANK(E15,E3:E29,0),"")</f>
        <v/>
      </c>
    </row>
    <row r="16" ht="20" customHeight="1">
      <c r="A16" s="7" t="inlineStr">
        <is>
          <t>鹿山</t>
        </is>
      </c>
      <c r="B16" s="15" t="inlineStr">
        <is>
          <t>民泊課</t>
        </is>
      </c>
      <c r="C16" s="15" t="inlineStr">
        <is>
          <t>一般</t>
        </is>
      </c>
      <c r="D16" s="17">
        <f>'鹿山'!Q49</f>
        <v/>
      </c>
      <c r="E16" s="32" t="inlineStr">
        <is>
          <t>—</t>
        </is>
      </c>
      <c r="F16" s="7">
        <f>IFERROR(RANK(E16,E3:E29,0),"")</f>
        <v/>
      </c>
    </row>
    <row r="17" ht="20" customHeight="1">
      <c r="A17" s="7" t="inlineStr">
        <is>
          <t>虞</t>
        </is>
      </c>
      <c r="B17" s="15" t="inlineStr">
        <is>
          <t>民泊課</t>
        </is>
      </c>
      <c r="C17" s="15" t="inlineStr">
        <is>
          <t>一般</t>
        </is>
      </c>
      <c r="D17" s="17">
        <f>'虞'!Q49</f>
        <v/>
      </c>
      <c r="E17" s="32" t="inlineStr">
        <is>
          <t>—</t>
        </is>
      </c>
      <c r="F17" s="7">
        <f>IFERROR(RANK(E17,E3:E29,0),"")</f>
        <v/>
      </c>
    </row>
    <row r="18" ht="20" customHeight="1">
      <c r="A18" s="7" t="inlineStr">
        <is>
          <t>MB新人①</t>
        </is>
      </c>
      <c r="B18" s="15" t="inlineStr">
        <is>
          <t>民泊課</t>
        </is>
      </c>
      <c r="C18" s="15" t="inlineStr">
        <is>
          <t>新人</t>
        </is>
      </c>
      <c r="D18" s="17">
        <f>'MB新人①'!Q49</f>
        <v/>
      </c>
      <c r="E18" s="32" t="inlineStr">
        <is>
          <t>—</t>
        </is>
      </c>
      <c r="F18" s="7">
        <f>IFERROR(RANK(E18,E3:E29,0),"")</f>
        <v/>
      </c>
    </row>
    <row r="19" ht="20" customHeight="1">
      <c r="A19" s="7" t="inlineStr">
        <is>
          <t>MB新人②</t>
        </is>
      </c>
      <c r="B19" s="15" t="inlineStr">
        <is>
          <t>民泊課</t>
        </is>
      </c>
      <c r="C19" s="15" t="inlineStr">
        <is>
          <t>新人</t>
        </is>
      </c>
      <c r="D19" s="17">
        <f>'MB新人②'!Q49</f>
        <v/>
      </c>
      <c r="E19" s="32" t="inlineStr">
        <is>
          <t>—</t>
        </is>
      </c>
      <c r="F19" s="7">
        <f>IFERROR(RANK(E19,E3:E29,0),"")</f>
        <v/>
      </c>
    </row>
    <row r="20" ht="20" customHeight="1">
      <c r="A20" s="7" t="inlineStr">
        <is>
          <t>鬼崎</t>
        </is>
      </c>
      <c r="B20" s="15" t="inlineStr">
        <is>
          <t>総務管理</t>
        </is>
      </c>
      <c r="C20" s="15" t="inlineStr">
        <is>
          <t>課長</t>
        </is>
      </c>
      <c r="D20" s="17">
        <f>'鬼崎'!Q49</f>
        <v/>
      </c>
      <c r="E20" s="32" t="inlineStr">
        <is>
          <t>—</t>
        </is>
      </c>
      <c r="F20" s="7">
        <f>IFERROR(RANK(E20,E3:E29,0),"")</f>
        <v/>
      </c>
    </row>
    <row r="21" ht="20" customHeight="1">
      <c r="A21" s="7" t="inlineStr">
        <is>
          <t>池田</t>
        </is>
      </c>
      <c r="B21" s="15" t="inlineStr">
        <is>
          <t>総務管理</t>
        </is>
      </c>
      <c r="C21" s="15" t="inlineStr">
        <is>
          <t>主任</t>
        </is>
      </c>
      <c r="D21" s="17">
        <f>'池田'!Q49</f>
        <v/>
      </c>
      <c r="E21" s="32" t="inlineStr">
        <is>
          <t>—</t>
        </is>
      </c>
      <c r="F21" s="7">
        <f>IFERROR(RANK(E21,E3:E29,0),"")</f>
        <v/>
      </c>
    </row>
    <row r="22" ht="20" customHeight="1">
      <c r="A22" s="7" t="inlineStr">
        <is>
          <t>田尻</t>
        </is>
      </c>
      <c r="B22" s="15" t="inlineStr">
        <is>
          <t>総務管理</t>
        </is>
      </c>
      <c r="C22" s="15" t="inlineStr">
        <is>
          <t>一般</t>
        </is>
      </c>
      <c r="D22" s="17">
        <f>'田尻'!Q49</f>
        <v/>
      </c>
      <c r="E22" s="32" t="inlineStr">
        <is>
          <t>—</t>
        </is>
      </c>
      <c r="F22" s="7">
        <f>IFERROR(RANK(E22,E3:E29,0),"")</f>
        <v/>
      </c>
    </row>
    <row r="23" ht="20" customHeight="1">
      <c r="A23" s="7" t="inlineStr">
        <is>
          <t>宮本</t>
        </is>
      </c>
      <c r="B23" s="15" t="inlineStr">
        <is>
          <t>総務管理</t>
        </is>
      </c>
      <c r="C23" s="15" t="inlineStr">
        <is>
          <t>一般</t>
        </is>
      </c>
      <c r="D23" s="17">
        <f>'宮本'!Q49</f>
        <v/>
      </c>
      <c r="E23" s="32" t="inlineStr">
        <is>
          <t>—</t>
        </is>
      </c>
      <c r="F23" s="7">
        <f>IFERROR(RANK(E23,E3:E29,0),"")</f>
        <v/>
      </c>
    </row>
    <row r="24" ht="20" customHeight="1">
      <c r="A24" s="7" t="inlineStr">
        <is>
          <t>松尾</t>
        </is>
      </c>
      <c r="B24" s="15" t="inlineStr">
        <is>
          <t>総務管理</t>
        </is>
      </c>
      <c r="C24" s="15" t="inlineStr">
        <is>
          <t>一般</t>
        </is>
      </c>
      <c r="D24" s="17">
        <f>'松尾'!Q49</f>
        <v/>
      </c>
      <c r="E24" s="32" t="inlineStr">
        <is>
          <t>—</t>
        </is>
      </c>
      <c r="F24" s="7">
        <f>IFERROR(RANK(E24,E3:E29,0),"")</f>
        <v/>
      </c>
    </row>
    <row r="25" ht="20" customHeight="1">
      <c r="A25" s="7" t="inlineStr">
        <is>
          <t>SZ新人①</t>
        </is>
      </c>
      <c r="B25" s="15" t="inlineStr">
        <is>
          <t>総務管理</t>
        </is>
      </c>
      <c r="C25" s="15" t="inlineStr">
        <is>
          <t>新人</t>
        </is>
      </c>
      <c r="D25" s="17">
        <f>'SZ新人①'!Q49</f>
        <v/>
      </c>
      <c r="E25" s="32" t="inlineStr">
        <is>
          <t>—</t>
        </is>
      </c>
      <c r="F25" s="7">
        <f>IFERROR(RANK(E25,E3:E29,0),"")</f>
        <v/>
      </c>
    </row>
    <row r="26" ht="20" customHeight="1">
      <c r="A26" s="7" t="inlineStr">
        <is>
          <t>SZ新人②</t>
        </is>
      </c>
      <c r="B26" s="15" t="inlineStr">
        <is>
          <t>総務管理</t>
        </is>
      </c>
      <c r="C26" s="15" t="inlineStr">
        <is>
          <t>新人</t>
        </is>
      </c>
      <c r="D26" s="17">
        <f>'SZ新人②'!Q49</f>
        <v/>
      </c>
      <c r="E26" s="32" t="inlineStr">
        <is>
          <t>—</t>
        </is>
      </c>
      <c r="F26" s="7">
        <f>IFERROR(RANK(E26,E3:E29,0),"")</f>
        <v/>
      </c>
    </row>
    <row r="27" ht="20" customHeight="1">
      <c r="A27" s="7" t="inlineStr">
        <is>
          <t>沖田</t>
        </is>
      </c>
      <c r="B27" s="15" t="inlineStr">
        <is>
          <t>管理推進</t>
        </is>
      </c>
      <c r="C27" s="15" t="inlineStr">
        <is>
          <t>一般</t>
        </is>
      </c>
      <c r="D27" s="17">
        <f>'沖田'!Q49</f>
        <v/>
      </c>
      <c r="E27" s="32" t="inlineStr">
        <is>
          <t>—</t>
        </is>
      </c>
      <c r="F27" s="7">
        <f>IFERROR(RANK(E27,E3:E29,0),"")</f>
        <v/>
      </c>
    </row>
    <row r="28" ht="20" customHeight="1">
      <c r="A28" s="7" t="inlineStr">
        <is>
          <t>KS新人①</t>
        </is>
      </c>
      <c r="B28" s="15" t="inlineStr">
        <is>
          <t>管理推進</t>
        </is>
      </c>
      <c r="C28" s="15" t="inlineStr">
        <is>
          <t>新人</t>
        </is>
      </c>
      <c r="D28" s="17">
        <f>'KS新人①'!Q49</f>
        <v/>
      </c>
      <c r="E28" s="32" t="inlineStr">
        <is>
          <t>—</t>
        </is>
      </c>
      <c r="F28" s="7">
        <f>IFERROR(RANK(E28,E3:E29,0),"")</f>
        <v/>
      </c>
    </row>
    <row r="29" ht="20" customHeight="1">
      <c r="A29" s="7" t="inlineStr">
        <is>
          <t>KS新人②</t>
        </is>
      </c>
      <c r="B29" s="15" t="inlineStr">
        <is>
          <t>管理推進</t>
        </is>
      </c>
      <c r="C29" s="15" t="inlineStr">
        <is>
          <t>新人</t>
        </is>
      </c>
      <c r="D29" s="17">
        <f>'KS新人②'!Q49</f>
        <v/>
      </c>
      <c r="E29" s="32" t="inlineStr">
        <is>
          <t>—</t>
        </is>
      </c>
      <c r="F29" s="7">
        <f>IFERROR(RANK(E29,E3:E29,0),"")</f>
        <v/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9" t="inlineStr">
        <is>
          <t>【分析表】上半期分析（Q1＋Q2）</t>
        </is>
      </c>
    </row>
    <row r="2" ht="26" customHeight="1">
      <c r="A2" s="30" t="inlineStr">
        <is>
          <t>氏名</t>
        </is>
      </c>
      <c r="B2" s="30" t="inlineStr">
        <is>
          <t>部署</t>
        </is>
      </c>
      <c r="C2" s="30" t="inlineStr">
        <is>
          <t>役職</t>
        </is>
      </c>
      <c r="D2" s="31" t="inlineStr">
        <is>
          <t>Q1
11月〜1月</t>
        </is>
      </c>
      <c r="E2" s="33" t="inlineStr">
        <is>
          <t>Q2
2月〜4月</t>
        </is>
      </c>
      <c r="F2" s="30" t="inlineStr">
        <is>
          <t>合計</t>
        </is>
      </c>
      <c r="G2" s="30" t="inlineStr">
        <is>
          <t>順位</t>
        </is>
      </c>
    </row>
    <row r="3" ht="20" customHeight="1">
      <c r="A3" s="7" t="inlineStr">
        <is>
          <t>細田</t>
        </is>
      </c>
      <c r="B3" s="15" t="inlineStr">
        <is>
          <t>リーシング</t>
        </is>
      </c>
      <c r="C3" s="15" t="inlineStr">
        <is>
          <t>課長代理</t>
        </is>
      </c>
      <c r="D3" s="17">
        <f>'細田'!Q13</f>
        <v/>
      </c>
      <c r="E3" s="17">
        <f>'細田'!Q25</f>
        <v/>
      </c>
      <c r="F3" s="36">
        <f>D3+E3</f>
        <v/>
      </c>
      <c r="G3" s="7">
        <f>IFERROR(RANK(F3,F3:F29,0),"")</f>
        <v/>
      </c>
    </row>
    <row r="4" ht="20" customHeight="1">
      <c r="A4" s="7" t="inlineStr">
        <is>
          <t>本多</t>
        </is>
      </c>
      <c r="B4" s="15" t="inlineStr">
        <is>
          <t>リーシング</t>
        </is>
      </c>
      <c r="C4" s="15" t="inlineStr">
        <is>
          <t>一般</t>
        </is>
      </c>
      <c r="D4" s="17">
        <f>'本多'!Q13</f>
        <v/>
      </c>
      <c r="E4" s="17">
        <f>'本多'!Q25</f>
        <v/>
      </c>
      <c r="F4" s="36">
        <f>D4+E4</f>
        <v/>
      </c>
      <c r="G4" s="7">
        <f>IFERROR(RANK(F4,F3:F29,0),"")</f>
        <v/>
      </c>
    </row>
    <row r="5" ht="20" customHeight="1">
      <c r="A5" s="7" t="inlineStr">
        <is>
          <t>西村</t>
        </is>
      </c>
      <c r="B5" s="15" t="inlineStr">
        <is>
          <t>リーシング</t>
        </is>
      </c>
      <c r="C5" s="15" t="inlineStr">
        <is>
          <t>一般</t>
        </is>
      </c>
      <c r="D5" s="17">
        <f>'西村'!Q13</f>
        <v/>
      </c>
      <c r="E5" s="17">
        <f>'西村'!Q25</f>
        <v/>
      </c>
      <c r="F5" s="36">
        <f>D5+E5</f>
        <v/>
      </c>
      <c r="G5" s="7">
        <f>IFERROR(RANK(F5,F3:F29,0),"")</f>
        <v/>
      </c>
    </row>
    <row r="6" ht="20" customHeight="1">
      <c r="A6" s="7" t="inlineStr">
        <is>
          <t>村田</t>
        </is>
      </c>
      <c r="B6" s="15" t="inlineStr">
        <is>
          <t>リーシング</t>
        </is>
      </c>
      <c r="C6" s="15" t="inlineStr">
        <is>
          <t>一般</t>
        </is>
      </c>
      <c r="D6" s="17">
        <f>'村田'!Q13</f>
        <v/>
      </c>
      <c r="E6" s="17">
        <f>'村田'!Q25</f>
        <v/>
      </c>
      <c r="F6" s="36">
        <f>D6+E6</f>
        <v/>
      </c>
      <c r="G6" s="7">
        <f>IFERROR(RANK(F6,F3:F29,0),"")</f>
        <v/>
      </c>
    </row>
    <row r="7" ht="20" customHeight="1">
      <c r="A7" s="7" t="inlineStr">
        <is>
          <t>吉田</t>
        </is>
      </c>
      <c r="B7" s="15" t="inlineStr">
        <is>
          <t>リーシング</t>
        </is>
      </c>
      <c r="C7" s="15" t="inlineStr">
        <is>
          <t>一般</t>
        </is>
      </c>
      <c r="D7" s="17">
        <f>'吉田'!Q13</f>
        <v/>
      </c>
      <c r="E7" s="17">
        <f>'吉田'!Q25</f>
        <v/>
      </c>
      <c r="F7" s="36">
        <f>D7+E7</f>
        <v/>
      </c>
      <c r="G7" s="7">
        <f>IFERROR(RANK(F7,F3:F29,0),"")</f>
        <v/>
      </c>
    </row>
    <row r="8" ht="20" customHeight="1">
      <c r="A8" s="7" t="inlineStr">
        <is>
          <t>LS新人①</t>
        </is>
      </c>
      <c r="B8" s="15" t="inlineStr">
        <is>
          <t>リーシング</t>
        </is>
      </c>
      <c r="C8" s="15" t="inlineStr">
        <is>
          <t>新人</t>
        </is>
      </c>
      <c r="D8" s="17">
        <f>'LS新人①'!Q13</f>
        <v/>
      </c>
      <c r="E8" s="17">
        <f>'LS新人①'!Q25</f>
        <v/>
      </c>
      <c r="F8" s="36">
        <f>D8+E8</f>
        <v/>
      </c>
      <c r="G8" s="7">
        <f>IFERROR(RANK(F8,F3:F29,0),"")</f>
        <v/>
      </c>
    </row>
    <row r="9" ht="20" customHeight="1">
      <c r="A9" s="7" t="inlineStr">
        <is>
          <t>LS新人②</t>
        </is>
      </c>
      <c r="B9" s="15" t="inlineStr">
        <is>
          <t>リーシング</t>
        </is>
      </c>
      <c r="C9" s="15" t="inlineStr">
        <is>
          <t>新人</t>
        </is>
      </c>
      <c r="D9" s="17">
        <f>'LS新人②'!Q13</f>
        <v/>
      </c>
      <c r="E9" s="17">
        <f>'LS新人②'!Q25</f>
        <v/>
      </c>
      <c r="F9" s="36">
        <f>D9+E9</f>
        <v/>
      </c>
      <c r="G9" s="7">
        <f>IFERROR(RANK(F9,F3:F29,0),"")</f>
        <v/>
      </c>
    </row>
    <row r="10" ht="20" customHeight="1">
      <c r="A10" s="7" t="inlineStr">
        <is>
          <t>奥村</t>
        </is>
      </c>
      <c r="B10" s="15" t="inlineStr">
        <is>
          <t>カスタマー</t>
        </is>
      </c>
      <c r="C10" s="15" t="inlineStr">
        <is>
          <t>課長代理</t>
        </is>
      </c>
      <c r="D10" s="17">
        <f>'奥村'!Q13</f>
        <v/>
      </c>
      <c r="E10" s="17">
        <f>'奥村'!Q25</f>
        <v/>
      </c>
      <c r="F10" s="36">
        <f>D10+E10</f>
        <v/>
      </c>
      <c r="G10" s="7">
        <f>IFERROR(RANK(F10,F3:F29,0),"")</f>
        <v/>
      </c>
    </row>
    <row r="11" ht="20" customHeight="1">
      <c r="A11" s="7" t="inlineStr">
        <is>
          <t>CS新人①</t>
        </is>
      </c>
      <c r="B11" s="15" t="inlineStr">
        <is>
          <t>カスタマー</t>
        </is>
      </c>
      <c r="C11" s="15" t="inlineStr">
        <is>
          <t>新人</t>
        </is>
      </c>
      <c r="D11" s="17">
        <f>'CS新人①'!Q13</f>
        <v/>
      </c>
      <c r="E11" s="17">
        <f>'CS新人①'!Q25</f>
        <v/>
      </c>
      <c r="F11" s="36">
        <f>D11+E11</f>
        <v/>
      </c>
      <c r="G11" s="7">
        <f>IFERROR(RANK(F11,F3:F29,0),"")</f>
        <v/>
      </c>
    </row>
    <row r="12" ht="20" customHeight="1">
      <c r="A12" s="7" t="inlineStr">
        <is>
          <t>CS新人②</t>
        </is>
      </c>
      <c r="B12" s="15" t="inlineStr">
        <is>
          <t>カスタマー</t>
        </is>
      </c>
      <c r="C12" s="15" t="inlineStr">
        <is>
          <t>新人</t>
        </is>
      </c>
      <c r="D12" s="17">
        <f>'CS新人②'!Q13</f>
        <v/>
      </c>
      <c r="E12" s="17">
        <f>'CS新人②'!Q25</f>
        <v/>
      </c>
      <c r="F12" s="36">
        <f>D12+E12</f>
        <v/>
      </c>
      <c r="G12" s="7">
        <f>IFERROR(RANK(F12,F3:F29,0),"")</f>
        <v/>
      </c>
    </row>
    <row r="13" ht="20" customHeight="1">
      <c r="A13" s="7" t="inlineStr">
        <is>
          <t>野方</t>
        </is>
      </c>
      <c r="B13" s="15" t="inlineStr">
        <is>
          <t>経営企画</t>
        </is>
      </c>
      <c r="C13" s="15" t="inlineStr">
        <is>
          <t>課長</t>
        </is>
      </c>
      <c r="D13" s="17">
        <f>'野方'!Q13</f>
        <v/>
      </c>
      <c r="E13" s="17">
        <f>'野方'!Q25</f>
        <v/>
      </c>
      <c r="F13" s="36">
        <f>D13+E13</f>
        <v/>
      </c>
      <c r="G13" s="7">
        <f>IFERROR(RANK(F13,F3:F29,0),"")</f>
        <v/>
      </c>
    </row>
    <row r="14" ht="20" customHeight="1">
      <c r="A14" s="7" t="inlineStr">
        <is>
          <t>KK新人①</t>
        </is>
      </c>
      <c r="B14" s="15" t="inlineStr">
        <is>
          <t>経営企画</t>
        </is>
      </c>
      <c r="C14" s="15" t="inlineStr">
        <is>
          <t>新人</t>
        </is>
      </c>
      <c r="D14" s="17">
        <f>'KK新人①'!Q13</f>
        <v/>
      </c>
      <c r="E14" s="17">
        <f>'KK新人①'!Q25</f>
        <v/>
      </c>
      <c r="F14" s="36">
        <f>D14+E14</f>
        <v/>
      </c>
      <c r="G14" s="7">
        <f>IFERROR(RANK(F14,F3:F29,0),"")</f>
        <v/>
      </c>
    </row>
    <row r="15" ht="20" customHeight="1">
      <c r="A15" s="7" t="inlineStr">
        <is>
          <t>KK新人②</t>
        </is>
      </c>
      <c r="B15" s="15" t="inlineStr">
        <is>
          <t>経営企画</t>
        </is>
      </c>
      <c r="C15" s="15" t="inlineStr">
        <is>
          <t>新人</t>
        </is>
      </c>
      <c r="D15" s="17">
        <f>'KK新人②'!Q13</f>
        <v/>
      </c>
      <c r="E15" s="17">
        <f>'KK新人②'!Q25</f>
        <v/>
      </c>
      <c r="F15" s="36">
        <f>D15+E15</f>
        <v/>
      </c>
      <c r="G15" s="7">
        <f>IFERROR(RANK(F15,F3:F29,0),"")</f>
        <v/>
      </c>
    </row>
    <row r="16" ht="20" customHeight="1">
      <c r="A16" s="7" t="inlineStr">
        <is>
          <t>鹿山</t>
        </is>
      </c>
      <c r="B16" s="15" t="inlineStr">
        <is>
          <t>民泊課</t>
        </is>
      </c>
      <c r="C16" s="15" t="inlineStr">
        <is>
          <t>一般</t>
        </is>
      </c>
      <c r="D16" s="17">
        <f>'鹿山'!Q13</f>
        <v/>
      </c>
      <c r="E16" s="17">
        <f>'鹿山'!Q25</f>
        <v/>
      </c>
      <c r="F16" s="36">
        <f>D16+E16</f>
        <v/>
      </c>
      <c r="G16" s="7">
        <f>IFERROR(RANK(F16,F3:F29,0),"")</f>
        <v/>
      </c>
    </row>
    <row r="17" ht="20" customHeight="1">
      <c r="A17" s="7" t="inlineStr">
        <is>
          <t>虞</t>
        </is>
      </c>
      <c r="B17" s="15" t="inlineStr">
        <is>
          <t>民泊課</t>
        </is>
      </c>
      <c r="C17" s="15" t="inlineStr">
        <is>
          <t>一般</t>
        </is>
      </c>
      <c r="D17" s="17">
        <f>'虞'!Q13</f>
        <v/>
      </c>
      <c r="E17" s="17">
        <f>'虞'!Q25</f>
        <v/>
      </c>
      <c r="F17" s="36">
        <f>D17+E17</f>
        <v/>
      </c>
      <c r="G17" s="7">
        <f>IFERROR(RANK(F17,F3:F29,0),"")</f>
        <v/>
      </c>
    </row>
    <row r="18" ht="20" customHeight="1">
      <c r="A18" s="7" t="inlineStr">
        <is>
          <t>MB新人①</t>
        </is>
      </c>
      <c r="B18" s="15" t="inlineStr">
        <is>
          <t>民泊課</t>
        </is>
      </c>
      <c r="C18" s="15" t="inlineStr">
        <is>
          <t>新人</t>
        </is>
      </c>
      <c r="D18" s="17">
        <f>'MB新人①'!Q13</f>
        <v/>
      </c>
      <c r="E18" s="17">
        <f>'MB新人①'!Q25</f>
        <v/>
      </c>
      <c r="F18" s="36">
        <f>D18+E18</f>
        <v/>
      </c>
      <c r="G18" s="7">
        <f>IFERROR(RANK(F18,F3:F29,0),"")</f>
        <v/>
      </c>
    </row>
    <row r="19" ht="20" customHeight="1">
      <c r="A19" s="7" t="inlineStr">
        <is>
          <t>MB新人②</t>
        </is>
      </c>
      <c r="B19" s="15" t="inlineStr">
        <is>
          <t>民泊課</t>
        </is>
      </c>
      <c r="C19" s="15" t="inlineStr">
        <is>
          <t>新人</t>
        </is>
      </c>
      <c r="D19" s="17">
        <f>'MB新人②'!Q13</f>
        <v/>
      </c>
      <c r="E19" s="17">
        <f>'MB新人②'!Q25</f>
        <v/>
      </c>
      <c r="F19" s="36">
        <f>D19+E19</f>
        <v/>
      </c>
      <c r="G19" s="7">
        <f>IFERROR(RANK(F19,F3:F29,0),"")</f>
        <v/>
      </c>
    </row>
    <row r="20" ht="20" customHeight="1">
      <c r="A20" s="7" t="inlineStr">
        <is>
          <t>鬼崎</t>
        </is>
      </c>
      <c r="B20" s="15" t="inlineStr">
        <is>
          <t>総務管理</t>
        </is>
      </c>
      <c r="C20" s="15" t="inlineStr">
        <is>
          <t>課長</t>
        </is>
      </c>
      <c r="D20" s="17">
        <f>'鬼崎'!Q13</f>
        <v/>
      </c>
      <c r="E20" s="17">
        <f>'鬼崎'!Q25</f>
        <v/>
      </c>
      <c r="F20" s="36">
        <f>D20+E20</f>
        <v/>
      </c>
      <c r="G20" s="7">
        <f>IFERROR(RANK(F20,F3:F29,0),"")</f>
        <v/>
      </c>
    </row>
    <row r="21" ht="20" customHeight="1">
      <c r="A21" s="7" t="inlineStr">
        <is>
          <t>池田</t>
        </is>
      </c>
      <c r="B21" s="15" t="inlineStr">
        <is>
          <t>総務管理</t>
        </is>
      </c>
      <c r="C21" s="15" t="inlineStr">
        <is>
          <t>主任</t>
        </is>
      </c>
      <c r="D21" s="17">
        <f>'池田'!Q13</f>
        <v/>
      </c>
      <c r="E21" s="17">
        <f>'池田'!Q25</f>
        <v/>
      </c>
      <c r="F21" s="36">
        <f>D21+E21</f>
        <v/>
      </c>
      <c r="G21" s="7">
        <f>IFERROR(RANK(F21,F3:F29,0),"")</f>
        <v/>
      </c>
    </row>
    <row r="22" ht="20" customHeight="1">
      <c r="A22" s="7" t="inlineStr">
        <is>
          <t>田尻</t>
        </is>
      </c>
      <c r="B22" s="15" t="inlineStr">
        <is>
          <t>総務管理</t>
        </is>
      </c>
      <c r="C22" s="15" t="inlineStr">
        <is>
          <t>一般</t>
        </is>
      </c>
      <c r="D22" s="17">
        <f>'田尻'!Q13</f>
        <v/>
      </c>
      <c r="E22" s="17">
        <f>'田尻'!Q25</f>
        <v/>
      </c>
      <c r="F22" s="36">
        <f>D22+E22</f>
        <v/>
      </c>
      <c r="G22" s="7">
        <f>IFERROR(RANK(F22,F3:F29,0),"")</f>
        <v/>
      </c>
    </row>
    <row r="23" ht="20" customHeight="1">
      <c r="A23" s="7" t="inlineStr">
        <is>
          <t>宮本</t>
        </is>
      </c>
      <c r="B23" s="15" t="inlineStr">
        <is>
          <t>総務管理</t>
        </is>
      </c>
      <c r="C23" s="15" t="inlineStr">
        <is>
          <t>一般</t>
        </is>
      </c>
      <c r="D23" s="17">
        <f>'宮本'!Q13</f>
        <v/>
      </c>
      <c r="E23" s="17">
        <f>'宮本'!Q25</f>
        <v/>
      </c>
      <c r="F23" s="36">
        <f>D23+E23</f>
        <v/>
      </c>
      <c r="G23" s="7">
        <f>IFERROR(RANK(F23,F3:F29,0),"")</f>
        <v/>
      </c>
    </row>
    <row r="24" ht="20" customHeight="1">
      <c r="A24" s="7" t="inlineStr">
        <is>
          <t>松尾</t>
        </is>
      </c>
      <c r="B24" s="15" t="inlineStr">
        <is>
          <t>総務管理</t>
        </is>
      </c>
      <c r="C24" s="15" t="inlineStr">
        <is>
          <t>一般</t>
        </is>
      </c>
      <c r="D24" s="17">
        <f>'松尾'!Q13</f>
        <v/>
      </c>
      <c r="E24" s="17">
        <f>'松尾'!Q25</f>
        <v/>
      </c>
      <c r="F24" s="36">
        <f>D24+E24</f>
        <v/>
      </c>
      <c r="G24" s="7">
        <f>IFERROR(RANK(F24,F3:F29,0),"")</f>
        <v/>
      </c>
    </row>
    <row r="25" ht="20" customHeight="1">
      <c r="A25" s="7" t="inlineStr">
        <is>
          <t>SZ新人①</t>
        </is>
      </c>
      <c r="B25" s="15" t="inlineStr">
        <is>
          <t>総務管理</t>
        </is>
      </c>
      <c r="C25" s="15" t="inlineStr">
        <is>
          <t>新人</t>
        </is>
      </c>
      <c r="D25" s="17">
        <f>'SZ新人①'!Q13</f>
        <v/>
      </c>
      <c r="E25" s="17">
        <f>'SZ新人①'!Q25</f>
        <v/>
      </c>
      <c r="F25" s="36">
        <f>D25+E25</f>
        <v/>
      </c>
      <c r="G25" s="7">
        <f>IFERROR(RANK(F25,F3:F29,0),"")</f>
        <v/>
      </c>
    </row>
    <row r="26" ht="20" customHeight="1">
      <c r="A26" s="7" t="inlineStr">
        <is>
          <t>SZ新人②</t>
        </is>
      </c>
      <c r="B26" s="15" t="inlineStr">
        <is>
          <t>総務管理</t>
        </is>
      </c>
      <c r="C26" s="15" t="inlineStr">
        <is>
          <t>新人</t>
        </is>
      </c>
      <c r="D26" s="17">
        <f>'SZ新人②'!Q13</f>
        <v/>
      </c>
      <c r="E26" s="17">
        <f>'SZ新人②'!Q25</f>
        <v/>
      </c>
      <c r="F26" s="36">
        <f>D26+E26</f>
        <v/>
      </c>
      <c r="G26" s="7">
        <f>IFERROR(RANK(F26,F3:F29,0),"")</f>
        <v/>
      </c>
    </row>
    <row r="27" ht="20" customHeight="1">
      <c r="A27" s="7" t="inlineStr">
        <is>
          <t>沖田</t>
        </is>
      </c>
      <c r="B27" s="15" t="inlineStr">
        <is>
          <t>管理推進</t>
        </is>
      </c>
      <c r="C27" s="15" t="inlineStr">
        <is>
          <t>一般</t>
        </is>
      </c>
      <c r="D27" s="17">
        <f>'沖田'!Q13</f>
        <v/>
      </c>
      <c r="E27" s="17">
        <f>'沖田'!Q25</f>
        <v/>
      </c>
      <c r="F27" s="36">
        <f>D27+E27</f>
        <v/>
      </c>
      <c r="G27" s="7">
        <f>IFERROR(RANK(F27,F3:F29,0),"")</f>
        <v/>
      </c>
    </row>
    <row r="28" ht="20" customHeight="1">
      <c r="A28" s="7" t="inlineStr">
        <is>
          <t>KS新人①</t>
        </is>
      </c>
      <c r="B28" s="15" t="inlineStr">
        <is>
          <t>管理推進</t>
        </is>
      </c>
      <c r="C28" s="15" t="inlineStr">
        <is>
          <t>新人</t>
        </is>
      </c>
      <c r="D28" s="17">
        <f>'KS新人①'!Q13</f>
        <v/>
      </c>
      <c r="E28" s="17">
        <f>'KS新人①'!Q25</f>
        <v/>
      </c>
      <c r="F28" s="36">
        <f>D28+E28</f>
        <v/>
      </c>
      <c r="G28" s="7">
        <f>IFERROR(RANK(F28,F3:F29,0),"")</f>
        <v/>
      </c>
    </row>
    <row r="29" ht="20" customHeight="1">
      <c r="A29" s="7" t="inlineStr">
        <is>
          <t>KS新人②</t>
        </is>
      </c>
      <c r="B29" s="15" t="inlineStr">
        <is>
          <t>管理推進</t>
        </is>
      </c>
      <c r="C29" s="15" t="inlineStr">
        <is>
          <t>新人</t>
        </is>
      </c>
      <c r="D29" s="17">
        <f>'KS新人②'!Q13</f>
        <v/>
      </c>
      <c r="E29" s="17">
        <f>'KS新人②'!Q25</f>
        <v/>
      </c>
      <c r="F29" s="36">
        <f>D29+E29</f>
        <v/>
      </c>
      <c r="G29" s="7">
        <f>IFERROR(RANK(F29,F3:F29,0),"")</f>
        <v/>
      </c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9" t="inlineStr">
        <is>
          <t>【分析表】下半期分析（Q3＋Q4）</t>
        </is>
      </c>
    </row>
    <row r="2" ht="26" customHeight="1">
      <c r="A2" s="30" t="inlineStr">
        <is>
          <t>氏名</t>
        </is>
      </c>
      <c r="B2" s="30" t="inlineStr">
        <is>
          <t>部署</t>
        </is>
      </c>
      <c r="C2" s="30" t="inlineStr">
        <is>
          <t>役職</t>
        </is>
      </c>
      <c r="D2" s="34" t="inlineStr">
        <is>
          <t>Q3
5月〜7月</t>
        </is>
      </c>
      <c r="E2" s="35" t="inlineStr">
        <is>
          <t>Q4
8月〜10月</t>
        </is>
      </c>
      <c r="F2" s="30" t="inlineStr">
        <is>
          <t>合計</t>
        </is>
      </c>
      <c r="G2" s="30" t="inlineStr">
        <is>
          <t>順位</t>
        </is>
      </c>
    </row>
    <row r="3" ht="20" customHeight="1">
      <c r="A3" s="7" t="inlineStr">
        <is>
          <t>細田</t>
        </is>
      </c>
      <c r="B3" s="15" t="inlineStr">
        <is>
          <t>リーシング</t>
        </is>
      </c>
      <c r="C3" s="15" t="inlineStr">
        <is>
          <t>課長代理</t>
        </is>
      </c>
      <c r="D3" s="17">
        <f>'細田'!Q37</f>
        <v/>
      </c>
      <c r="E3" s="17">
        <f>'細田'!Q49</f>
        <v/>
      </c>
      <c r="F3" s="36">
        <f>D3+E3</f>
        <v/>
      </c>
      <c r="G3" s="7">
        <f>IFERROR(RANK(F3,F3:F29,0),"")</f>
        <v/>
      </c>
    </row>
    <row r="4" ht="20" customHeight="1">
      <c r="A4" s="7" t="inlineStr">
        <is>
          <t>本多</t>
        </is>
      </c>
      <c r="B4" s="15" t="inlineStr">
        <is>
          <t>リーシング</t>
        </is>
      </c>
      <c r="C4" s="15" t="inlineStr">
        <is>
          <t>一般</t>
        </is>
      </c>
      <c r="D4" s="17">
        <f>'本多'!Q37</f>
        <v/>
      </c>
      <c r="E4" s="17">
        <f>'本多'!Q49</f>
        <v/>
      </c>
      <c r="F4" s="36">
        <f>D4+E4</f>
        <v/>
      </c>
      <c r="G4" s="7">
        <f>IFERROR(RANK(F4,F3:F29,0),"")</f>
        <v/>
      </c>
    </row>
    <row r="5" ht="20" customHeight="1">
      <c r="A5" s="7" t="inlineStr">
        <is>
          <t>西村</t>
        </is>
      </c>
      <c r="B5" s="15" t="inlineStr">
        <is>
          <t>リーシング</t>
        </is>
      </c>
      <c r="C5" s="15" t="inlineStr">
        <is>
          <t>一般</t>
        </is>
      </c>
      <c r="D5" s="17">
        <f>'西村'!Q37</f>
        <v/>
      </c>
      <c r="E5" s="17">
        <f>'西村'!Q49</f>
        <v/>
      </c>
      <c r="F5" s="36">
        <f>D5+E5</f>
        <v/>
      </c>
      <c r="G5" s="7">
        <f>IFERROR(RANK(F5,F3:F29,0),"")</f>
        <v/>
      </c>
    </row>
    <row r="6" ht="20" customHeight="1">
      <c r="A6" s="7" t="inlineStr">
        <is>
          <t>村田</t>
        </is>
      </c>
      <c r="B6" s="15" t="inlineStr">
        <is>
          <t>リーシング</t>
        </is>
      </c>
      <c r="C6" s="15" t="inlineStr">
        <is>
          <t>一般</t>
        </is>
      </c>
      <c r="D6" s="17">
        <f>'村田'!Q37</f>
        <v/>
      </c>
      <c r="E6" s="17">
        <f>'村田'!Q49</f>
        <v/>
      </c>
      <c r="F6" s="36">
        <f>D6+E6</f>
        <v/>
      </c>
      <c r="G6" s="7">
        <f>IFERROR(RANK(F6,F3:F29,0),"")</f>
        <v/>
      </c>
    </row>
    <row r="7" ht="20" customHeight="1">
      <c r="A7" s="7" t="inlineStr">
        <is>
          <t>吉田</t>
        </is>
      </c>
      <c r="B7" s="15" t="inlineStr">
        <is>
          <t>リーシング</t>
        </is>
      </c>
      <c r="C7" s="15" t="inlineStr">
        <is>
          <t>一般</t>
        </is>
      </c>
      <c r="D7" s="17">
        <f>'吉田'!Q37</f>
        <v/>
      </c>
      <c r="E7" s="17">
        <f>'吉田'!Q49</f>
        <v/>
      </c>
      <c r="F7" s="36">
        <f>D7+E7</f>
        <v/>
      </c>
      <c r="G7" s="7">
        <f>IFERROR(RANK(F7,F3:F29,0),"")</f>
        <v/>
      </c>
    </row>
    <row r="8" ht="20" customHeight="1">
      <c r="A8" s="7" t="inlineStr">
        <is>
          <t>LS新人①</t>
        </is>
      </c>
      <c r="B8" s="15" t="inlineStr">
        <is>
          <t>リーシング</t>
        </is>
      </c>
      <c r="C8" s="15" t="inlineStr">
        <is>
          <t>新人</t>
        </is>
      </c>
      <c r="D8" s="17">
        <f>'LS新人①'!Q37</f>
        <v/>
      </c>
      <c r="E8" s="17">
        <f>'LS新人①'!Q49</f>
        <v/>
      </c>
      <c r="F8" s="36">
        <f>D8+E8</f>
        <v/>
      </c>
      <c r="G8" s="7">
        <f>IFERROR(RANK(F8,F3:F29,0),"")</f>
        <v/>
      </c>
    </row>
    <row r="9" ht="20" customHeight="1">
      <c r="A9" s="7" t="inlineStr">
        <is>
          <t>LS新人②</t>
        </is>
      </c>
      <c r="B9" s="15" t="inlineStr">
        <is>
          <t>リーシング</t>
        </is>
      </c>
      <c r="C9" s="15" t="inlineStr">
        <is>
          <t>新人</t>
        </is>
      </c>
      <c r="D9" s="17">
        <f>'LS新人②'!Q37</f>
        <v/>
      </c>
      <c r="E9" s="17">
        <f>'LS新人②'!Q49</f>
        <v/>
      </c>
      <c r="F9" s="36">
        <f>D9+E9</f>
        <v/>
      </c>
      <c r="G9" s="7">
        <f>IFERROR(RANK(F9,F3:F29,0),"")</f>
        <v/>
      </c>
    </row>
    <row r="10" ht="20" customHeight="1">
      <c r="A10" s="7" t="inlineStr">
        <is>
          <t>奥村</t>
        </is>
      </c>
      <c r="B10" s="15" t="inlineStr">
        <is>
          <t>カスタマー</t>
        </is>
      </c>
      <c r="C10" s="15" t="inlineStr">
        <is>
          <t>課長代理</t>
        </is>
      </c>
      <c r="D10" s="17">
        <f>'奥村'!Q37</f>
        <v/>
      </c>
      <c r="E10" s="17">
        <f>'奥村'!Q49</f>
        <v/>
      </c>
      <c r="F10" s="36">
        <f>D10+E10</f>
        <v/>
      </c>
      <c r="G10" s="7">
        <f>IFERROR(RANK(F10,F3:F29,0),"")</f>
        <v/>
      </c>
    </row>
    <row r="11" ht="20" customHeight="1">
      <c r="A11" s="7" t="inlineStr">
        <is>
          <t>CS新人①</t>
        </is>
      </c>
      <c r="B11" s="15" t="inlineStr">
        <is>
          <t>カスタマー</t>
        </is>
      </c>
      <c r="C11" s="15" t="inlineStr">
        <is>
          <t>新人</t>
        </is>
      </c>
      <c r="D11" s="17">
        <f>'CS新人①'!Q37</f>
        <v/>
      </c>
      <c r="E11" s="17">
        <f>'CS新人①'!Q49</f>
        <v/>
      </c>
      <c r="F11" s="36">
        <f>D11+E11</f>
        <v/>
      </c>
      <c r="G11" s="7">
        <f>IFERROR(RANK(F11,F3:F29,0),"")</f>
        <v/>
      </c>
    </row>
    <row r="12" ht="20" customHeight="1">
      <c r="A12" s="7" t="inlineStr">
        <is>
          <t>CS新人②</t>
        </is>
      </c>
      <c r="B12" s="15" t="inlineStr">
        <is>
          <t>カスタマー</t>
        </is>
      </c>
      <c r="C12" s="15" t="inlineStr">
        <is>
          <t>新人</t>
        </is>
      </c>
      <c r="D12" s="17">
        <f>'CS新人②'!Q37</f>
        <v/>
      </c>
      <c r="E12" s="17">
        <f>'CS新人②'!Q49</f>
        <v/>
      </c>
      <c r="F12" s="36">
        <f>D12+E12</f>
        <v/>
      </c>
      <c r="G12" s="7">
        <f>IFERROR(RANK(F12,F3:F29,0),"")</f>
        <v/>
      </c>
    </row>
    <row r="13" ht="20" customHeight="1">
      <c r="A13" s="7" t="inlineStr">
        <is>
          <t>野方</t>
        </is>
      </c>
      <c r="B13" s="15" t="inlineStr">
        <is>
          <t>経営企画</t>
        </is>
      </c>
      <c r="C13" s="15" t="inlineStr">
        <is>
          <t>課長</t>
        </is>
      </c>
      <c r="D13" s="17">
        <f>'野方'!Q37</f>
        <v/>
      </c>
      <c r="E13" s="17">
        <f>'野方'!Q49</f>
        <v/>
      </c>
      <c r="F13" s="36">
        <f>D13+E13</f>
        <v/>
      </c>
      <c r="G13" s="7">
        <f>IFERROR(RANK(F13,F3:F29,0),"")</f>
        <v/>
      </c>
    </row>
    <row r="14" ht="20" customHeight="1">
      <c r="A14" s="7" t="inlineStr">
        <is>
          <t>KK新人①</t>
        </is>
      </c>
      <c r="B14" s="15" t="inlineStr">
        <is>
          <t>経営企画</t>
        </is>
      </c>
      <c r="C14" s="15" t="inlineStr">
        <is>
          <t>新人</t>
        </is>
      </c>
      <c r="D14" s="17">
        <f>'KK新人①'!Q37</f>
        <v/>
      </c>
      <c r="E14" s="17">
        <f>'KK新人①'!Q49</f>
        <v/>
      </c>
      <c r="F14" s="36">
        <f>D14+E14</f>
        <v/>
      </c>
      <c r="G14" s="7">
        <f>IFERROR(RANK(F14,F3:F29,0),"")</f>
        <v/>
      </c>
    </row>
    <row r="15" ht="20" customHeight="1">
      <c r="A15" s="7" t="inlineStr">
        <is>
          <t>KK新人②</t>
        </is>
      </c>
      <c r="B15" s="15" t="inlineStr">
        <is>
          <t>経営企画</t>
        </is>
      </c>
      <c r="C15" s="15" t="inlineStr">
        <is>
          <t>新人</t>
        </is>
      </c>
      <c r="D15" s="17">
        <f>'KK新人②'!Q37</f>
        <v/>
      </c>
      <c r="E15" s="17">
        <f>'KK新人②'!Q49</f>
        <v/>
      </c>
      <c r="F15" s="36">
        <f>D15+E15</f>
        <v/>
      </c>
      <c r="G15" s="7">
        <f>IFERROR(RANK(F15,F3:F29,0),"")</f>
        <v/>
      </c>
    </row>
    <row r="16" ht="20" customHeight="1">
      <c r="A16" s="7" t="inlineStr">
        <is>
          <t>鹿山</t>
        </is>
      </c>
      <c r="B16" s="15" t="inlineStr">
        <is>
          <t>民泊課</t>
        </is>
      </c>
      <c r="C16" s="15" t="inlineStr">
        <is>
          <t>一般</t>
        </is>
      </c>
      <c r="D16" s="17">
        <f>'鹿山'!Q37</f>
        <v/>
      </c>
      <c r="E16" s="17">
        <f>'鹿山'!Q49</f>
        <v/>
      </c>
      <c r="F16" s="36">
        <f>D16+E16</f>
        <v/>
      </c>
      <c r="G16" s="7">
        <f>IFERROR(RANK(F16,F3:F29,0),"")</f>
        <v/>
      </c>
    </row>
    <row r="17" ht="20" customHeight="1">
      <c r="A17" s="7" t="inlineStr">
        <is>
          <t>虞</t>
        </is>
      </c>
      <c r="B17" s="15" t="inlineStr">
        <is>
          <t>民泊課</t>
        </is>
      </c>
      <c r="C17" s="15" t="inlineStr">
        <is>
          <t>一般</t>
        </is>
      </c>
      <c r="D17" s="17">
        <f>'虞'!Q37</f>
        <v/>
      </c>
      <c r="E17" s="17">
        <f>'虞'!Q49</f>
        <v/>
      </c>
      <c r="F17" s="36">
        <f>D17+E17</f>
        <v/>
      </c>
      <c r="G17" s="7">
        <f>IFERROR(RANK(F17,F3:F29,0),"")</f>
        <v/>
      </c>
    </row>
    <row r="18" ht="20" customHeight="1">
      <c r="A18" s="7" t="inlineStr">
        <is>
          <t>MB新人①</t>
        </is>
      </c>
      <c r="B18" s="15" t="inlineStr">
        <is>
          <t>民泊課</t>
        </is>
      </c>
      <c r="C18" s="15" t="inlineStr">
        <is>
          <t>新人</t>
        </is>
      </c>
      <c r="D18" s="17">
        <f>'MB新人①'!Q37</f>
        <v/>
      </c>
      <c r="E18" s="17">
        <f>'MB新人①'!Q49</f>
        <v/>
      </c>
      <c r="F18" s="36">
        <f>D18+E18</f>
        <v/>
      </c>
      <c r="G18" s="7">
        <f>IFERROR(RANK(F18,F3:F29,0),"")</f>
        <v/>
      </c>
    </row>
    <row r="19" ht="20" customHeight="1">
      <c r="A19" s="7" t="inlineStr">
        <is>
          <t>MB新人②</t>
        </is>
      </c>
      <c r="B19" s="15" t="inlineStr">
        <is>
          <t>民泊課</t>
        </is>
      </c>
      <c r="C19" s="15" t="inlineStr">
        <is>
          <t>新人</t>
        </is>
      </c>
      <c r="D19" s="17">
        <f>'MB新人②'!Q37</f>
        <v/>
      </c>
      <c r="E19" s="17">
        <f>'MB新人②'!Q49</f>
        <v/>
      </c>
      <c r="F19" s="36">
        <f>D19+E19</f>
        <v/>
      </c>
      <c r="G19" s="7">
        <f>IFERROR(RANK(F19,F3:F29,0),"")</f>
        <v/>
      </c>
    </row>
    <row r="20" ht="20" customHeight="1">
      <c r="A20" s="7" t="inlineStr">
        <is>
          <t>鬼崎</t>
        </is>
      </c>
      <c r="B20" s="15" t="inlineStr">
        <is>
          <t>総務管理</t>
        </is>
      </c>
      <c r="C20" s="15" t="inlineStr">
        <is>
          <t>課長</t>
        </is>
      </c>
      <c r="D20" s="17">
        <f>'鬼崎'!Q37</f>
        <v/>
      </c>
      <c r="E20" s="17">
        <f>'鬼崎'!Q49</f>
        <v/>
      </c>
      <c r="F20" s="36">
        <f>D20+E20</f>
        <v/>
      </c>
      <c r="G20" s="7">
        <f>IFERROR(RANK(F20,F3:F29,0),"")</f>
        <v/>
      </c>
    </row>
    <row r="21" ht="20" customHeight="1">
      <c r="A21" s="7" t="inlineStr">
        <is>
          <t>池田</t>
        </is>
      </c>
      <c r="B21" s="15" t="inlineStr">
        <is>
          <t>総務管理</t>
        </is>
      </c>
      <c r="C21" s="15" t="inlineStr">
        <is>
          <t>主任</t>
        </is>
      </c>
      <c r="D21" s="17">
        <f>'池田'!Q37</f>
        <v/>
      </c>
      <c r="E21" s="17">
        <f>'池田'!Q49</f>
        <v/>
      </c>
      <c r="F21" s="36">
        <f>D21+E21</f>
        <v/>
      </c>
      <c r="G21" s="7">
        <f>IFERROR(RANK(F21,F3:F29,0),"")</f>
        <v/>
      </c>
    </row>
    <row r="22" ht="20" customHeight="1">
      <c r="A22" s="7" t="inlineStr">
        <is>
          <t>田尻</t>
        </is>
      </c>
      <c r="B22" s="15" t="inlineStr">
        <is>
          <t>総務管理</t>
        </is>
      </c>
      <c r="C22" s="15" t="inlineStr">
        <is>
          <t>一般</t>
        </is>
      </c>
      <c r="D22" s="17">
        <f>'田尻'!Q37</f>
        <v/>
      </c>
      <c r="E22" s="17">
        <f>'田尻'!Q49</f>
        <v/>
      </c>
      <c r="F22" s="36">
        <f>D22+E22</f>
        <v/>
      </c>
      <c r="G22" s="7">
        <f>IFERROR(RANK(F22,F3:F29,0),"")</f>
        <v/>
      </c>
    </row>
    <row r="23" ht="20" customHeight="1">
      <c r="A23" s="7" t="inlineStr">
        <is>
          <t>宮本</t>
        </is>
      </c>
      <c r="B23" s="15" t="inlineStr">
        <is>
          <t>総務管理</t>
        </is>
      </c>
      <c r="C23" s="15" t="inlineStr">
        <is>
          <t>一般</t>
        </is>
      </c>
      <c r="D23" s="17">
        <f>'宮本'!Q37</f>
        <v/>
      </c>
      <c r="E23" s="17">
        <f>'宮本'!Q49</f>
        <v/>
      </c>
      <c r="F23" s="36">
        <f>D23+E23</f>
        <v/>
      </c>
      <c r="G23" s="7">
        <f>IFERROR(RANK(F23,F3:F29,0),"")</f>
        <v/>
      </c>
    </row>
    <row r="24" ht="20" customHeight="1">
      <c r="A24" s="7" t="inlineStr">
        <is>
          <t>松尾</t>
        </is>
      </c>
      <c r="B24" s="15" t="inlineStr">
        <is>
          <t>総務管理</t>
        </is>
      </c>
      <c r="C24" s="15" t="inlineStr">
        <is>
          <t>一般</t>
        </is>
      </c>
      <c r="D24" s="17">
        <f>'松尾'!Q37</f>
        <v/>
      </c>
      <c r="E24" s="17">
        <f>'松尾'!Q49</f>
        <v/>
      </c>
      <c r="F24" s="36">
        <f>D24+E24</f>
        <v/>
      </c>
      <c r="G24" s="7">
        <f>IFERROR(RANK(F24,F3:F29,0),"")</f>
        <v/>
      </c>
    </row>
    <row r="25" ht="20" customHeight="1">
      <c r="A25" s="7" t="inlineStr">
        <is>
          <t>SZ新人①</t>
        </is>
      </c>
      <c r="B25" s="15" t="inlineStr">
        <is>
          <t>総務管理</t>
        </is>
      </c>
      <c r="C25" s="15" t="inlineStr">
        <is>
          <t>新人</t>
        </is>
      </c>
      <c r="D25" s="17">
        <f>'SZ新人①'!Q37</f>
        <v/>
      </c>
      <c r="E25" s="17">
        <f>'SZ新人①'!Q49</f>
        <v/>
      </c>
      <c r="F25" s="36">
        <f>D25+E25</f>
        <v/>
      </c>
      <c r="G25" s="7">
        <f>IFERROR(RANK(F25,F3:F29,0),"")</f>
        <v/>
      </c>
    </row>
    <row r="26" ht="20" customHeight="1">
      <c r="A26" s="7" t="inlineStr">
        <is>
          <t>SZ新人②</t>
        </is>
      </c>
      <c r="B26" s="15" t="inlineStr">
        <is>
          <t>総務管理</t>
        </is>
      </c>
      <c r="C26" s="15" t="inlineStr">
        <is>
          <t>新人</t>
        </is>
      </c>
      <c r="D26" s="17">
        <f>'SZ新人②'!Q37</f>
        <v/>
      </c>
      <c r="E26" s="17">
        <f>'SZ新人②'!Q49</f>
        <v/>
      </c>
      <c r="F26" s="36">
        <f>D26+E26</f>
        <v/>
      </c>
      <c r="G26" s="7">
        <f>IFERROR(RANK(F26,F3:F29,0),"")</f>
        <v/>
      </c>
    </row>
    <row r="27" ht="20" customHeight="1">
      <c r="A27" s="7" t="inlineStr">
        <is>
          <t>沖田</t>
        </is>
      </c>
      <c r="B27" s="15" t="inlineStr">
        <is>
          <t>管理推進</t>
        </is>
      </c>
      <c r="C27" s="15" t="inlineStr">
        <is>
          <t>一般</t>
        </is>
      </c>
      <c r="D27" s="17">
        <f>'沖田'!Q37</f>
        <v/>
      </c>
      <c r="E27" s="17">
        <f>'沖田'!Q49</f>
        <v/>
      </c>
      <c r="F27" s="36">
        <f>D27+E27</f>
        <v/>
      </c>
      <c r="G27" s="7">
        <f>IFERROR(RANK(F27,F3:F29,0),"")</f>
        <v/>
      </c>
    </row>
    <row r="28" ht="20" customHeight="1">
      <c r="A28" s="7" t="inlineStr">
        <is>
          <t>KS新人①</t>
        </is>
      </c>
      <c r="B28" s="15" t="inlineStr">
        <is>
          <t>管理推進</t>
        </is>
      </c>
      <c r="C28" s="15" t="inlineStr">
        <is>
          <t>新人</t>
        </is>
      </c>
      <c r="D28" s="17">
        <f>'KS新人①'!Q37</f>
        <v/>
      </c>
      <c r="E28" s="17">
        <f>'KS新人①'!Q49</f>
        <v/>
      </c>
      <c r="F28" s="36">
        <f>D28+E28</f>
        <v/>
      </c>
      <c r="G28" s="7">
        <f>IFERROR(RANK(F28,F3:F29,0),"")</f>
        <v/>
      </c>
    </row>
    <row r="29" ht="20" customHeight="1">
      <c r="A29" s="7" t="inlineStr">
        <is>
          <t>KS新人②</t>
        </is>
      </c>
      <c r="B29" s="15" t="inlineStr">
        <is>
          <t>管理推進</t>
        </is>
      </c>
      <c r="C29" s="15" t="inlineStr">
        <is>
          <t>新人</t>
        </is>
      </c>
      <c r="D29" s="17">
        <f>'KS新人②'!Q37</f>
        <v/>
      </c>
      <c r="E29" s="17">
        <f>'KS新人②'!Q49</f>
        <v/>
      </c>
      <c r="F29" s="36">
        <f>D29+E29</f>
        <v/>
      </c>
      <c r="G29" s="7">
        <f>IFERROR(RANK(F29,F3:F29,0),"")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2026-05-01T04:35:59Z</dcterms:created>
  <dcterms:modified xsi:type="dcterms:W3CDTF">2026-05-01T04:36:00Z</dcterms:modified>
</cp:coreProperties>
</file>